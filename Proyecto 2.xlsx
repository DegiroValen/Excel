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Tracy de Beer\Desktop\C2 Datasets\Cumulative Activity\"/>
    </mc:Choice>
  </mc:AlternateContent>
  <xr:revisionPtr revIDLastSave="0" documentId="8_{46F1A7AB-D75D-40A4-A6EA-6C963A45A54A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Mobility sales data" sheetId="3" r:id="rId1"/>
    <sheet name="Detalle1" sheetId="6" state="hidden" r:id="rId2"/>
    <sheet name="Detalle2" sheetId="7" state="hidden" r:id="rId3"/>
    <sheet name="Pivot hecho por mi" sheetId="5" r:id="rId4"/>
    <sheet name="Mobility sales data arreglado" sheetId="4" r:id="rId5"/>
  </sheets>
  <calcPr calcId="191028" calcCompleted="0"/>
  <pivotCaches>
    <pivotCache cacheId="156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6g1Wvb3By2mXyU8rgLWN5nOj7021ml1ndlUaqDWGSg="/>
    </ext>
  </extLst>
</workbook>
</file>

<file path=xl/calcChain.xml><?xml version="1.0" encoding="utf-8"?>
<calcChain xmlns="http://schemas.openxmlformats.org/spreadsheetml/2006/main">
  <c r="M4" i="5" l="1"/>
  <c r="M5" i="5"/>
  <c r="M6" i="5"/>
  <c r="M7" i="5"/>
  <c r="Z76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2" i="4"/>
  <c r="V2" i="4"/>
  <c r="W2" i="4" s="1"/>
  <c r="AA2" i="4" s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I2" i="4"/>
  <c r="I3" i="4"/>
  <c r="I4" i="4"/>
  <c r="I5" i="4"/>
  <c r="I6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V6" i="4"/>
  <c r="W6" i="4" s="1"/>
  <c r="AA6" i="4" s="1"/>
  <c r="V3" i="4"/>
  <c r="W3" i="4" s="1"/>
  <c r="AA3" i="4" s="1"/>
  <c r="V4" i="4"/>
  <c r="W4" i="4" s="1"/>
  <c r="AA4" i="4" s="1"/>
  <c r="V5" i="4"/>
  <c r="W5" i="4" s="1"/>
  <c r="AA5" i="4" s="1"/>
  <c r="V7" i="4"/>
  <c r="W7" i="4" s="1"/>
  <c r="AA7" i="4" s="1"/>
  <c r="V8" i="4"/>
  <c r="W8" i="4" s="1"/>
  <c r="AA8" i="4" s="1"/>
  <c r="V9" i="4"/>
  <c r="W9" i="4" s="1"/>
  <c r="AA9" i="4" s="1"/>
  <c r="V10" i="4"/>
  <c r="W10" i="4" s="1"/>
  <c r="AA10" i="4" s="1"/>
  <c r="V11" i="4"/>
  <c r="W11" i="4" s="1"/>
  <c r="AA11" i="4" s="1"/>
  <c r="V12" i="4"/>
  <c r="W12" i="4" s="1"/>
  <c r="AA12" i="4" s="1"/>
  <c r="V13" i="4"/>
  <c r="W13" i="4" s="1"/>
  <c r="AA13" i="4" s="1"/>
  <c r="V14" i="4"/>
  <c r="W14" i="4" s="1"/>
  <c r="AA14" i="4" s="1"/>
  <c r="V15" i="4"/>
  <c r="W15" i="4" s="1"/>
  <c r="AA15" i="4" s="1"/>
  <c r="V16" i="4"/>
  <c r="W16" i="4" s="1"/>
  <c r="AA16" i="4" s="1"/>
  <c r="V17" i="4"/>
  <c r="W17" i="4" s="1"/>
  <c r="AA17" i="4" s="1"/>
  <c r="V18" i="4"/>
  <c r="W18" i="4" s="1"/>
  <c r="AA18" i="4" s="1"/>
  <c r="V19" i="4"/>
  <c r="W19" i="4" s="1"/>
  <c r="AA19" i="4" s="1"/>
  <c r="V20" i="4"/>
  <c r="W20" i="4" s="1"/>
  <c r="AA20" i="4" s="1"/>
  <c r="V21" i="4"/>
  <c r="W21" i="4" s="1"/>
  <c r="AA21" i="4" s="1"/>
  <c r="V22" i="4"/>
  <c r="W22" i="4" s="1"/>
  <c r="AA22" i="4" s="1"/>
  <c r="V23" i="4"/>
  <c r="W23" i="4" s="1"/>
  <c r="AA23" i="4" s="1"/>
  <c r="V24" i="4"/>
  <c r="W24" i="4" s="1"/>
  <c r="AA24" i="4" s="1"/>
  <c r="V25" i="4"/>
  <c r="W25" i="4" s="1"/>
  <c r="AA25" i="4" s="1"/>
  <c r="V26" i="4"/>
  <c r="W26" i="4" s="1"/>
  <c r="AA26" i="4" s="1"/>
  <c r="V27" i="4"/>
  <c r="W27" i="4" s="1"/>
  <c r="AA27" i="4" s="1"/>
  <c r="V28" i="4"/>
  <c r="W28" i="4" s="1"/>
  <c r="AA28" i="4" s="1"/>
  <c r="V29" i="4"/>
  <c r="W29" i="4" s="1"/>
  <c r="AA29" i="4" s="1"/>
  <c r="V30" i="4"/>
  <c r="W30" i="4" s="1"/>
  <c r="AA30" i="4" s="1"/>
  <c r="V31" i="4"/>
  <c r="W31" i="4" s="1"/>
  <c r="AA31" i="4" s="1"/>
  <c r="V32" i="4"/>
  <c r="W32" i="4" s="1"/>
  <c r="AA32" i="4" s="1"/>
  <c r="V33" i="4"/>
  <c r="W33" i="4" s="1"/>
  <c r="AA33" i="4" s="1"/>
  <c r="V34" i="4"/>
  <c r="W34" i="4" s="1"/>
  <c r="AA34" i="4" s="1"/>
  <c r="V35" i="4"/>
  <c r="W35" i="4" s="1"/>
  <c r="AA35" i="4" s="1"/>
  <c r="V36" i="4"/>
  <c r="W36" i="4" s="1"/>
  <c r="AA36" i="4" s="1"/>
  <c r="V37" i="4"/>
  <c r="W37" i="4" s="1"/>
  <c r="AA37" i="4" s="1"/>
  <c r="V38" i="4"/>
  <c r="W38" i="4" s="1"/>
  <c r="AA38" i="4" s="1"/>
  <c r="V39" i="4"/>
  <c r="W39" i="4" s="1"/>
  <c r="AA39" i="4" s="1"/>
  <c r="V40" i="4"/>
  <c r="W40" i="4" s="1"/>
  <c r="AA40" i="4" s="1"/>
  <c r="V41" i="4"/>
  <c r="W41" i="4" s="1"/>
  <c r="AA41" i="4" s="1"/>
  <c r="V42" i="4"/>
  <c r="W42" i="4" s="1"/>
  <c r="AA42" i="4" s="1"/>
  <c r="V43" i="4"/>
  <c r="W43" i="4" s="1"/>
  <c r="AA43" i="4" s="1"/>
  <c r="V44" i="4"/>
  <c r="W44" i="4" s="1"/>
  <c r="AA44" i="4" s="1"/>
  <c r="V45" i="4"/>
  <c r="W45" i="4" s="1"/>
  <c r="AA45" i="4" s="1"/>
  <c r="V46" i="4"/>
  <c r="W46" i="4" s="1"/>
  <c r="AA46" i="4" s="1"/>
  <c r="V47" i="4"/>
  <c r="W47" i="4" s="1"/>
  <c r="AA47" i="4" s="1"/>
  <c r="V48" i="4"/>
  <c r="W48" i="4" s="1"/>
  <c r="AA48" i="4" s="1"/>
  <c r="V49" i="4"/>
  <c r="W49" i="4" s="1"/>
  <c r="AA49" i="4" s="1"/>
  <c r="V50" i="4"/>
  <c r="W50" i="4" s="1"/>
  <c r="AA50" i="4" s="1"/>
  <c r="V51" i="4"/>
  <c r="W51" i="4" s="1"/>
  <c r="AA51" i="4" s="1"/>
  <c r="V52" i="4"/>
  <c r="W52" i="4" s="1"/>
  <c r="AA52" i="4" s="1"/>
  <c r="V53" i="4"/>
  <c r="W53" i="4" s="1"/>
  <c r="AA53" i="4" s="1"/>
  <c r="V54" i="4"/>
  <c r="W54" i="4" s="1"/>
  <c r="AA54" i="4" s="1"/>
  <c r="V55" i="4"/>
  <c r="W55" i="4" s="1"/>
  <c r="AA55" i="4" s="1"/>
  <c r="V56" i="4"/>
  <c r="W56" i="4" s="1"/>
  <c r="AA56" i="4" s="1"/>
  <c r="V57" i="4"/>
  <c r="W57" i="4" s="1"/>
  <c r="AA57" i="4" s="1"/>
  <c r="V58" i="4"/>
  <c r="W58" i="4" s="1"/>
  <c r="AA58" i="4" s="1"/>
  <c r="V59" i="4"/>
  <c r="W59" i="4" s="1"/>
  <c r="AA59" i="4" s="1"/>
  <c r="V60" i="4"/>
  <c r="W60" i="4" s="1"/>
  <c r="AA60" i="4" s="1"/>
  <c r="V61" i="4"/>
  <c r="W61" i="4" s="1"/>
  <c r="AA61" i="4" s="1"/>
  <c r="V62" i="4"/>
  <c r="W62" i="4" s="1"/>
  <c r="AA62" i="4" s="1"/>
  <c r="V63" i="4"/>
  <c r="W63" i="4" s="1"/>
  <c r="AA63" i="4" s="1"/>
  <c r="V64" i="4"/>
  <c r="W64" i="4" s="1"/>
  <c r="AA64" i="4" s="1"/>
  <c r="V65" i="4"/>
  <c r="W65" i="4" s="1"/>
  <c r="AA65" i="4" s="1"/>
  <c r="V66" i="4"/>
  <c r="W66" i="4" s="1"/>
  <c r="AA66" i="4" s="1"/>
  <c r="V67" i="4"/>
  <c r="W67" i="4" s="1"/>
  <c r="AA67" i="4" s="1"/>
  <c r="V68" i="4"/>
  <c r="W68" i="4" s="1"/>
  <c r="AA68" i="4" s="1"/>
  <c r="V69" i="4"/>
  <c r="W69" i="4" s="1"/>
  <c r="AA69" i="4" s="1"/>
  <c r="V70" i="4"/>
  <c r="W70" i="4" s="1"/>
  <c r="AA70" i="4" s="1"/>
  <c r="V71" i="4"/>
  <c r="W71" i="4" s="1"/>
  <c r="AA71" i="4" s="1"/>
  <c r="V72" i="4"/>
  <c r="W72" i="4" s="1"/>
  <c r="AA72" i="4" s="1"/>
  <c r="V73" i="4"/>
  <c r="W73" i="4" s="1"/>
  <c r="AA73" i="4" s="1"/>
  <c r="V74" i="4"/>
  <c r="W74" i="4" s="1"/>
  <c r="AA74" i="4" s="1"/>
  <c r="V75" i="4"/>
  <c r="W75" i="4" s="1"/>
  <c r="AA75" i="4" s="1"/>
  <c r="V76" i="4"/>
  <c r="W76" i="4" s="1"/>
  <c r="AA76" i="4" s="1"/>
  <c r="V77" i="4"/>
  <c r="W77" i="4" s="1"/>
  <c r="AA77" i="4" s="1"/>
  <c r="V78" i="4"/>
  <c r="W78" i="4" s="1"/>
  <c r="AA78" i="4" s="1"/>
  <c r="V79" i="4"/>
  <c r="W79" i="4" s="1"/>
  <c r="AA79" i="4" s="1"/>
  <c r="V80" i="4"/>
  <c r="W80" i="4" s="1"/>
  <c r="AA80" i="4" s="1"/>
  <c r="V81" i="4"/>
  <c r="W81" i="4" s="1"/>
  <c r="AA81" i="4" s="1"/>
  <c r="V82" i="4"/>
  <c r="W82" i="4" s="1"/>
  <c r="AA82" i="4" s="1"/>
  <c r="V83" i="4"/>
  <c r="W83" i="4" s="1"/>
  <c r="AA83" i="4" s="1"/>
  <c r="V84" i="4"/>
  <c r="W84" i="4" s="1"/>
  <c r="AA84" i="4" s="1"/>
  <c r="V85" i="4"/>
  <c r="W85" i="4" s="1"/>
  <c r="AA85" i="4" s="1"/>
  <c r="V86" i="4"/>
  <c r="W86" i="4" s="1"/>
  <c r="AA86" i="4" s="1"/>
  <c r="V87" i="4"/>
  <c r="W87" i="4" s="1"/>
  <c r="AA87" i="4" s="1"/>
  <c r="V88" i="4"/>
  <c r="W88" i="4" s="1"/>
  <c r="AA88" i="4" s="1"/>
  <c r="V89" i="4"/>
  <c r="W89" i="4" s="1"/>
  <c r="AA89" i="4" s="1"/>
  <c r="V90" i="4"/>
  <c r="W90" i="4" s="1"/>
  <c r="AA90" i="4" s="1"/>
  <c r="V91" i="4"/>
  <c r="W91" i="4" s="1"/>
  <c r="AA91" i="4" s="1"/>
  <c r="V92" i="4"/>
  <c r="W92" i="4" s="1"/>
  <c r="AA92" i="4" s="1"/>
  <c r="V93" i="4"/>
  <c r="W93" i="4" s="1"/>
  <c r="AA93" i="4" s="1"/>
  <c r="V94" i="4"/>
  <c r="W94" i="4" s="1"/>
  <c r="AA94" i="4" s="1"/>
  <c r="V95" i="4"/>
  <c r="W95" i="4" s="1"/>
  <c r="AA95" i="4" s="1"/>
  <c r="V96" i="4"/>
  <c r="W96" i="4" s="1"/>
  <c r="AA96" i="4" s="1"/>
  <c r="V97" i="4"/>
  <c r="W97" i="4" s="1"/>
  <c r="AA97" i="4" s="1"/>
  <c r="V98" i="4"/>
  <c r="W98" i="4" s="1"/>
  <c r="AA98" i="4" s="1"/>
  <c r="V99" i="4"/>
  <c r="W99" i="4" s="1"/>
  <c r="AA99" i="4" s="1"/>
  <c r="V100" i="4"/>
  <c r="W100" i="4" s="1"/>
  <c r="AA100" i="4" s="1"/>
  <c r="V101" i="4"/>
  <c r="W101" i="4" s="1"/>
  <c r="AA101" i="4" s="1"/>
  <c r="V102" i="4"/>
  <c r="W102" i="4" s="1"/>
  <c r="AA102" i="4" s="1"/>
  <c r="V103" i="4"/>
  <c r="W103" i="4" s="1"/>
  <c r="AA103" i="4" s="1"/>
  <c r="V104" i="4"/>
  <c r="W104" i="4" s="1"/>
  <c r="AA104" i="4" s="1"/>
  <c r="V105" i="4"/>
  <c r="W105" i="4" s="1"/>
  <c r="AA105" i="4" s="1"/>
  <c r="V106" i="4"/>
  <c r="W106" i="4" s="1"/>
  <c r="AA106" i="4" s="1"/>
  <c r="V107" i="4"/>
  <c r="W107" i="4" s="1"/>
  <c r="AA107" i="4" s="1"/>
  <c r="V108" i="4"/>
  <c r="W108" i="4" s="1"/>
  <c r="AA108" i="4" s="1"/>
  <c r="V109" i="4"/>
  <c r="W109" i="4" s="1"/>
  <c r="AA109" i="4" s="1"/>
  <c r="V110" i="4"/>
  <c r="W110" i="4" s="1"/>
  <c r="AA110" i="4" s="1"/>
  <c r="V111" i="4"/>
  <c r="W111" i="4" s="1"/>
  <c r="AA111" i="4" s="1"/>
  <c r="V112" i="4"/>
  <c r="W112" i="4" s="1"/>
  <c r="AA112" i="4" s="1"/>
  <c r="V113" i="4"/>
  <c r="W113" i="4" s="1"/>
  <c r="AA113" i="4" s="1"/>
  <c r="V114" i="4"/>
  <c r="W114" i="4" s="1"/>
  <c r="AA114" i="4" s="1"/>
  <c r="V115" i="4"/>
  <c r="W115" i="4" s="1"/>
  <c r="AA115" i="4" s="1"/>
  <c r="V116" i="4"/>
  <c r="W116" i="4" s="1"/>
  <c r="AA116" i="4" s="1"/>
  <c r="V117" i="4"/>
  <c r="W117" i="4" s="1"/>
  <c r="AA117" i="4" s="1"/>
  <c r="V118" i="4"/>
  <c r="W118" i="4" s="1"/>
  <c r="AA118" i="4" s="1"/>
  <c r="V119" i="4"/>
  <c r="W119" i="4" s="1"/>
  <c r="AA119" i="4" s="1"/>
  <c r="V120" i="4"/>
  <c r="W120" i="4" s="1"/>
  <c r="AA120" i="4" s="1"/>
  <c r="V121" i="4"/>
  <c r="W121" i="4" s="1"/>
  <c r="AA121" i="4" s="1"/>
  <c r="V122" i="4"/>
  <c r="W122" i="4" s="1"/>
  <c r="AA122" i="4" s="1"/>
  <c r="V123" i="4"/>
  <c r="W123" i="4" s="1"/>
  <c r="AA123" i="4" s="1"/>
  <c r="V124" i="4"/>
  <c r="W124" i="4" s="1"/>
  <c r="AA124" i="4" s="1"/>
  <c r="V125" i="4"/>
  <c r="W125" i="4" s="1"/>
  <c r="AA125" i="4" s="1"/>
  <c r="V126" i="4"/>
  <c r="W126" i="4" s="1"/>
  <c r="AA126" i="4" s="1"/>
  <c r="V127" i="4"/>
  <c r="W127" i="4" s="1"/>
  <c r="AA127" i="4" s="1"/>
  <c r="V128" i="4"/>
  <c r="W128" i="4" s="1"/>
  <c r="AA128" i="4" s="1"/>
  <c r="V129" i="4"/>
  <c r="W129" i="4" s="1"/>
  <c r="AA129" i="4" s="1"/>
  <c r="V130" i="4"/>
  <c r="W130" i="4" s="1"/>
  <c r="AA130" i="4" s="1"/>
  <c r="V131" i="4"/>
  <c r="W131" i="4" s="1"/>
  <c r="AA131" i="4" s="1"/>
  <c r="V132" i="4"/>
  <c r="W132" i="4" s="1"/>
  <c r="AA132" i="4" s="1"/>
  <c r="V133" i="4"/>
  <c r="W133" i="4" s="1"/>
  <c r="AA133" i="4" s="1"/>
  <c r="V134" i="4"/>
  <c r="W134" i="4" s="1"/>
  <c r="AA134" i="4" s="1"/>
  <c r="V135" i="4"/>
  <c r="W135" i="4" s="1"/>
  <c r="AA135" i="4" s="1"/>
  <c r="V136" i="4"/>
  <c r="W136" i="4" s="1"/>
  <c r="AA136" i="4" s="1"/>
  <c r="V137" i="4"/>
  <c r="W137" i="4" s="1"/>
  <c r="AA137" i="4" s="1"/>
  <c r="V138" i="4"/>
  <c r="W138" i="4" s="1"/>
  <c r="AA138" i="4" s="1"/>
  <c r="V139" i="4"/>
  <c r="W139" i="4" s="1"/>
  <c r="AA139" i="4" s="1"/>
  <c r="V140" i="4"/>
  <c r="W140" i="4" s="1"/>
  <c r="AA140" i="4" s="1"/>
  <c r="V141" i="4"/>
  <c r="W141" i="4" s="1"/>
  <c r="AA141" i="4" s="1"/>
  <c r="V142" i="4"/>
  <c r="W142" i="4" s="1"/>
  <c r="AA142" i="4" s="1"/>
  <c r="V143" i="4"/>
  <c r="W143" i="4" s="1"/>
  <c r="AA143" i="4" s="1"/>
  <c r="V144" i="4"/>
  <c r="W144" i="4" s="1"/>
  <c r="AA144" i="4" s="1"/>
  <c r="V145" i="4"/>
  <c r="W145" i="4" s="1"/>
  <c r="AA145" i="4" s="1"/>
  <c r="L4" i="4"/>
  <c r="L2" i="4"/>
  <c r="L3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G7" i="4"/>
  <c r="I7" i="4"/>
</calcChain>
</file>

<file path=xl/sharedStrings.xml><?xml version="1.0" encoding="utf-8"?>
<sst xmlns="http://schemas.openxmlformats.org/spreadsheetml/2006/main" count="7238" uniqueCount="147">
  <si>
    <t>Sales Rep ID</t>
  </si>
  <si>
    <t>Rep First Name</t>
  </si>
  <si>
    <t>Rep Last Name</t>
  </si>
  <si>
    <t>Month</t>
  </si>
  <si>
    <t>Product Type</t>
  </si>
  <si>
    <t>Min Speed</t>
  </si>
  <si>
    <t>Speed</t>
  </si>
  <si>
    <t>Distance</t>
  </si>
  <si>
    <t>Shipping Address</t>
  </si>
  <si>
    <t>Country Code</t>
  </si>
  <si>
    <t>Unit Price</t>
  </si>
  <si>
    <t>Units Sold</t>
  </si>
  <si>
    <t>Discount (%)</t>
  </si>
  <si>
    <t>Sanya</t>
  </si>
  <si>
    <t>Joshi</t>
  </si>
  <si>
    <t>January</t>
  </si>
  <si>
    <t>Electric Unicycle</t>
  </si>
  <si>
    <t>15 mph</t>
  </si>
  <si>
    <t>30 mph</t>
  </si>
  <si>
    <t>30 miles</t>
  </si>
  <si>
    <t>456 Brigade Road, Bengaluru, 560001</t>
  </si>
  <si>
    <t>IN</t>
  </si>
  <si>
    <t>₹30,000</t>
  </si>
  <si>
    <t>Electric Scooter</t>
  </si>
  <si>
    <t>20 mph</t>
  </si>
  <si>
    <t>35 mph</t>
  </si>
  <si>
    <t>40 miles</t>
  </si>
  <si>
    <t>457 Brigade Road, Bengaluru, 560001</t>
  </si>
  <si>
    <t>₹25,000</t>
  </si>
  <si>
    <t>Electric Skateboard</t>
  </si>
  <si>
    <t>18 mph</t>
  </si>
  <si>
    <t>28 mph</t>
  </si>
  <si>
    <t>25 miles</t>
  </si>
  <si>
    <t>458 Brigade Road, Bengaluru, 560001</t>
  </si>
  <si>
    <t>₹22,000</t>
  </si>
  <si>
    <t>Fang</t>
  </si>
  <si>
    <t>Liu</t>
  </si>
  <si>
    <t>99 Nanjing Road, Shanghai, 200001</t>
  </si>
  <si>
    <t>CN</t>
  </si>
  <si>
    <t>¥5,000</t>
  </si>
  <si>
    <t>100 Nanjing Road, Shanghai, 200001</t>
  </si>
  <si>
    <t>¥3,500</t>
  </si>
  <si>
    <t>40,230 meters</t>
  </si>
  <si>
    <t>101 Nanjing Road, Shanghai, 200001</t>
  </si>
  <si>
    <t>¥4,200</t>
  </si>
  <si>
    <t>Jonas</t>
  </si>
  <si>
    <t>Fischer</t>
  </si>
  <si>
    <t>48,280 meters</t>
  </si>
  <si>
    <t>303 Ringstraße, Hamburg, 20095</t>
  </si>
  <si>
    <t>DE</t>
  </si>
  <si>
    <t>€1000</t>
  </si>
  <si>
    <t>304 Ringstraße, Hamburg, 20095</t>
  </si>
  <si>
    <t>€800</t>
  </si>
  <si>
    <t>305 Ringstraße, Hamburg, 20095</t>
  </si>
  <si>
    <t>€950</t>
  </si>
  <si>
    <t>Théo</t>
  </si>
  <si>
    <t>Bernard</t>
  </si>
  <si>
    <t>56 Boulevard Saint-Germain, Paris, 75005</t>
  </si>
  <si>
    <t>FR</t>
  </si>
  <si>
    <t>€1100</t>
  </si>
  <si>
    <t>64,370 meters</t>
  </si>
  <si>
    <t>57 Boulevard Saint-Germain, Paris, 75005</t>
  </si>
  <si>
    <t>€900</t>
  </si>
  <si>
    <t>58 Boulevard Saint-Germain, Paris, 75005</t>
  </si>
  <si>
    <t>€1050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</si>
  <si>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</si>
  <si>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</si>
  <si>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</si>
  <si>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</si>
  <si>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</si>
  <si>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</si>
  <si>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</si>
  <si>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</si>
  <si>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</si>
  <si>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</si>
  <si>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</si>
  <si>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Problema: Hay duplicados</t>
  </si>
  <si>
    <t>Problema: Hay vacios</t>
  </si>
  <si>
    <t>Problema: Hay distintos formatos</t>
  </si>
  <si>
    <t>Problema: Es mas legible seprar la columna en varias</t>
  </si>
  <si>
    <t>Problema: Mas eficiente si esta en porcentaje(como indica el nombre de la tabla)</t>
  </si>
  <si>
    <t>Detalles para Suma de Ventas totales</t>
  </si>
  <si>
    <t>Complete name</t>
  </si>
  <si>
    <t>Max-min speed</t>
  </si>
  <si>
    <t>Columna2</t>
  </si>
  <si>
    <t>Distance2</t>
  </si>
  <si>
    <t>Street</t>
  </si>
  <si>
    <t>City</t>
  </si>
  <si>
    <t>Continent</t>
  </si>
  <si>
    <t>Postal code</t>
  </si>
  <si>
    <t>Unit Price €</t>
  </si>
  <si>
    <t>Unit Price ¥</t>
  </si>
  <si>
    <t>Unit Price ₹</t>
  </si>
  <si>
    <t>Precio unitario €</t>
  </si>
  <si>
    <t>Precio unitario USD$</t>
  </si>
  <si>
    <t>Columna1</t>
  </si>
  <si>
    <t>Ventas totales</t>
  </si>
  <si>
    <t>Sanya Joshi</t>
  </si>
  <si>
    <t>Min 15 - Max 30 mph</t>
  </si>
  <si>
    <t>miles</t>
  </si>
  <si>
    <t>48280,02 meters</t>
  </si>
  <si>
    <t>456 Brigade Road</t>
  </si>
  <si>
    <t xml:space="preserve"> Bengaluru</t>
  </si>
  <si>
    <t>Asia</t>
  </si>
  <si>
    <t>Min 20 - Max 35 mph</t>
  </si>
  <si>
    <t>64373,36 meters</t>
  </si>
  <si>
    <t>457 Brigade Road</t>
  </si>
  <si>
    <t>Min 18 - Max 28 mph</t>
  </si>
  <si>
    <t>40233,35 meters</t>
  </si>
  <si>
    <t>458 Brigade Road</t>
  </si>
  <si>
    <t>Fang Liu</t>
  </si>
  <si>
    <t>99 Nanjing Road</t>
  </si>
  <si>
    <t xml:space="preserve"> Shanghai</t>
  </si>
  <si>
    <t>100 Nanjing Road</t>
  </si>
  <si>
    <t>Min  - Max 28 mph</t>
  </si>
  <si>
    <t>meters</t>
  </si>
  <si>
    <t>40,23 meters</t>
  </si>
  <si>
    <t>101 Nanjing Road</t>
  </si>
  <si>
    <t>Min 17,515 - Max 35 mph</t>
  </si>
  <si>
    <t>48,28 meters</t>
  </si>
  <si>
    <t>64,37 meters</t>
  </si>
  <si>
    <t>Min 17,515 - Max 30 mph</t>
  </si>
  <si>
    <t>Min 17,515 - Max 28 mph</t>
  </si>
  <si>
    <t>Jonas Fischer</t>
  </si>
  <si>
    <t>303 Ringstraße</t>
  </si>
  <si>
    <t xml:space="preserve"> Hamburg</t>
  </si>
  <si>
    <t>Europe</t>
  </si>
  <si>
    <t>304 Ringstraße</t>
  </si>
  <si>
    <t>305 Ringstraße</t>
  </si>
  <si>
    <t>Théo Bernard</t>
  </si>
  <si>
    <t>56 Boulevard Saint-Germain</t>
  </si>
  <si>
    <t xml:space="preserve"> Paris</t>
  </si>
  <si>
    <t>57 Boulevard Saint-Germain</t>
  </si>
  <si>
    <t>58 Boulevard Saint-Germain</t>
  </si>
  <si>
    <t xml:space="preserve"> </t>
  </si>
  <si>
    <t/>
  </si>
  <si>
    <t>Suma de Ventas totales</t>
  </si>
  <si>
    <t>Ventas por trimestre</t>
  </si>
  <si>
    <t>T1</t>
  </si>
  <si>
    <t>T2</t>
  </si>
  <si>
    <t>T3</t>
  </si>
  <si>
    <t>T4</t>
  </si>
  <si>
    <t>Total general</t>
  </si>
  <si>
    <t>Ventas por tipo de producto</t>
  </si>
  <si>
    <t>Ventas por region</t>
  </si>
  <si>
    <t>Ventas totales por persona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</si>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</sst>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-2]\ * #,##0.00_-;\-[$€-2]\ * #,##0.00_-;_-[$€-2]\ * &quot;-&quot;??_-;_-@_-"/>
    <numFmt numFmtId="165" formatCode="#,##0.00\ &quot;€&quot;"/>
    <numFmt numFmtId="166" formatCode="_-[$$-409]* #,##0.00_ ;_-[$$-409]* \-#,##0.00\ ;_-[$$-409]* &quot;-&quot;??_ ;_-@_ "/>
  </numFmts>
  <fonts count="3"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1" fillId="2" borderId="2" xfId="0" applyNumberFormat="1" applyFont="1" applyFill="1" applyBorder="1" applyAlignment="1">
      <alignment horizontal="center" vertical="center"/>
    </xf>
    <xf numFmtId="44" fontId="0" fillId="0" borderId="0" xfId="0" applyNumberFormat="1"/>
    <xf numFmtId="165" fontId="1" fillId="2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0" fontId="1" fillId="2" borderId="3" xfId="0" applyNumberFormat="1" applyFont="1" applyFill="1" applyBorder="1" applyAlignment="1">
      <alignment horizontal="center" vertical="center"/>
    </xf>
    <xf numFmtId="10" fontId="0" fillId="0" borderId="0" xfId="0" applyNumberFormat="1"/>
    <xf numFmtId="2" fontId="1" fillId="2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2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10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0" fillId="0" borderId="10" xfId="0" applyBorder="1"/>
    <xf numFmtId="164" fontId="1" fillId="2" borderId="2" xfId="0" applyNumberFormat="1" applyFont="1" applyFill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left" wrapText="1"/>
    </xf>
    <xf numFmtId="166" fontId="1" fillId="0" borderId="5" xfId="0" applyNumberFormat="1" applyFont="1" applyBorder="1" applyAlignment="1">
      <alignment horizontal="left"/>
    </xf>
    <xf numFmtId="166" fontId="1" fillId="0" borderId="6" xfId="0" applyNumberFormat="1" applyFont="1" applyBorder="1" applyAlignment="1">
      <alignment horizontal="left"/>
    </xf>
    <xf numFmtId="0" fontId="2" fillId="0" borderId="0" xfId="0" applyFont="1"/>
    <xf numFmtId="0" fontId="0" fillId="0" borderId="12" xfId="0" pivotButton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166" fontId="0" fillId="0" borderId="0" xfId="0" applyNumberFormat="1"/>
    <xf numFmtId="166" fontId="0" fillId="0" borderId="10" xfId="0" applyNumberFormat="1" applyBorder="1"/>
    <xf numFmtId="166" fontId="0" fillId="0" borderId="14" xfId="0" applyNumberFormat="1" applyBorder="1"/>
    <xf numFmtId="166" fontId="0" fillId="0" borderId="11" xfId="0" applyNumberFormat="1" applyBorder="1"/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#,##0.00\ &quot;€&quot;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#,##0.00\ &quot;€&quot;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[$€-2]\ * #,##0.00_-;\-[$€-2]\ * #,##0.00_-;_-[$€-2]\ 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_-[$€-2]\ * #,##0.00_-;\-[$€-2]\ * #,##0.00_-;_-[$€-2]\ * &quot;-&quot;??_-;_-@_-"/>
      <alignment horizontal="center"/>
    </dxf>
    <dxf>
      <numFmt numFmtId="164" formatCode="_-[$€-2]\ * #,##0.00_-;\-[$€-2]\ * #,##0.00_-;_-[$€-2]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  <scheme val="none"/>
      </font>
      <numFmt numFmtId="34" formatCode="_-* #,##0.00\ &quot;€&quot;_-;\-* #,##0.00\ &quot;€&quot;_-;_-* &quot;-&quot;??\ &quot;€&quot;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4" formatCode="_-* #,##0.00\ &quot;€&quot;_-;\-* #,##0.00\ &quot;€&quot;_-;_-* &quot;-&quot;??\ &quot;€&quot;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Arial"/>
      </font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C2_M5_L2 Rental Data-style" pivot="0" count="3" xr9:uid="{00000000-0011-0000-FFFF-FFFF00000000}">
      <tableStyleElement type="headerRow" dxfId="87"/>
      <tableStyleElement type="firstRowStripe" dxfId="86"/>
      <tableStyleElement type="secondRowStripe" dxfId="85"/>
    </tableStyle>
    <tableStyle name="C2_M5_L2 Mobility Sales Data-style" pivot="0" count="3" xr9:uid="{00000000-0011-0000-FFFF-FFFF01000000}">
      <tableStyleElement type="headerRow" dxfId="84"/>
      <tableStyleElement type="firstRowStripe" dxfId="83"/>
      <tableStyleElement type="secondRowStripe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2 1.xlsx]Pivot hecho por mi!TablaDinámica1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hecho por mi'!$B$3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hecho por mi'!$A$4:$A$16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hecho por mi'!$B$4:$B$16</c:f>
              <c:numCache>
                <c:formatCode>_-[$$-409]* #,##0.00_ ;_-[$$-409]* \-#,##0.00\ ;_-[$$-409]* "-"??_ ;_-@_ </c:formatCode>
                <c:ptCount val="12"/>
                <c:pt idx="0">
                  <c:v>1202033.4709248</c:v>
                </c:pt>
                <c:pt idx="1">
                  <c:v>1743829.0398959999</c:v>
                </c:pt>
                <c:pt idx="2">
                  <c:v>2393535.6071519991</c:v>
                </c:pt>
                <c:pt idx="3">
                  <c:v>4486815.5449200002</c:v>
                </c:pt>
                <c:pt idx="4">
                  <c:v>5052989.2538399994</c:v>
                </c:pt>
                <c:pt idx="5">
                  <c:v>6020097.0707999999</c:v>
                </c:pt>
                <c:pt idx="6">
                  <c:v>6844812.4884000001</c:v>
                </c:pt>
                <c:pt idx="7">
                  <c:v>4485382.9635600001</c:v>
                </c:pt>
                <c:pt idx="8">
                  <c:v>3973106.27256</c:v>
                </c:pt>
                <c:pt idx="9">
                  <c:v>2573557.0558799999</c:v>
                </c:pt>
                <c:pt idx="10">
                  <c:v>1614951.9295080001</c:v>
                </c:pt>
                <c:pt idx="11">
                  <c:v>2229069.7589759999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5-4D53-8AB8-B458DF8D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968967"/>
        <c:axId val="930690567"/>
      </c:lineChart>
      <c:catAx>
        <c:axId val="1884968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0567"/>
        <c:crosses val="autoZero"/>
        <c:auto val="1"/>
        <c:lblAlgn val="ctr"/>
        <c:lblOffset val="100"/>
        <c:noMultiLvlLbl val="0"/>
      </c:catAx>
      <c:valAx>
        <c:axId val="93069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6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hecho por mi'!$L$4:$L$7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'Pivot hecho por mi'!$M$4:$M$7</c:f>
              <c:numCache>
                <c:formatCode>_-[$$-409]* #,##0.00_ ;_-[$$-409]* \-#,##0.00\ ;_-[$$-409]* "-"??_ ;_-@_ </c:formatCode>
                <c:ptCount val="4"/>
                <c:pt idx="0">
                  <c:v>5339398.1179727986</c:v>
                </c:pt>
                <c:pt idx="1">
                  <c:v>15559901.86956</c:v>
                </c:pt>
                <c:pt idx="2">
                  <c:v>15303301.724520002</c:v>
                </c:pt>
                <c:pt idx="3">
                  <c:v>6417578.7443639999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7-4F77-9806-28247EED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430791"/>
        <c:axId val="1101432839"/>
      </c:barChart>
      <c:catAx>
        <c:axId val="1101430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32839"/>
        <c:crosses val="autoZero"/>
        <c:auto val="1"/>
        <c:lblAlgn val="ctr"/>
        <c:lblOffset val="100"/>
        <c:noMultiLvlLbl val="0"/>
      </c:catAx>
      <c:valAx>
        <c:axId val="110143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3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171450</xdr:rowOff>
    </xdr:from>
    <xdr:to>
      <xdr:col>10</xdr:col>
      <xdr:colOff>9525</xdr:colOff>
      <xdr:row>16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4D3C95-8381-1FC7-DE59-895BEDC28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180975</xdr:colOff>
      <xdr:row>2</xdr:row>
      <xdr:rowOff>95250</xdr:rowOff>
    </xdr:from>
    <xdr:to>
      <xdr:col>18</xdr:col>
      <xdr:colOff>333375</xdr:colOff>
      <xdr:row>12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5CC1F5-DDC8-783E-7409-6219A06A1B45}"/>
            </a:ext>
            <a:ext uri="{147F2762-F138-4A5C-976F-8EAC2B608ADB}">
              <a16:predDERef xmlns:a16="http://schemas.microsoft.com/office/drawing/2014/main" pred="{4F4D3C95-8381-1FC7-DE59-895BEDC28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486773958335" createdVersion="8" refreshedVersion="8" minRefreshableVersion="3" recordCount="164" xr:uid="{8F1C64F0-3C68-4D9E-A794-E2EECED87654}">
  <cacheSource type="worksheet">
    <worksheetSource name="Table32"/>
  </cacheSource>
  <cacheFields count="27">
    <cacheField name="Sales Rep ID" numFmtId="0">
      <sharedItems containsString="0" containsBlank="1" containsNumber="1" containsInteger="1" minValue="1" maxValue="144"/>
    </cacheField>
    <cacheField name="Rep First Name" numFmtId="0">
      <sharedItems containsBlank="1"/>
    </cacheField>
    <cacheField name="Rep Last Name" numFmtId="0">
      <sharedItems containsBlank="1"/>
    </cacheField>
    <cacheField name="Complete name" numFmtId="0">
      <sharedItems count="5">
        <s v="Sanya Joshi"/>
        <s v="Fang Liu"/>
        <s v="Jonas Fischer"/>
        <s v="Théo Bernard"/>
        <s v=" "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Product Type" numFmtId="0">
      <sharedItems containsBlank="1" count="4">
        <s v="Electric Unicycle"/>
        <s v="Electric Scooter"/>
        <s v="Electric Skateboard"/>
        <m/>
      </sharedItems>
    </cacheField>
    <cacheField name="Min Speed" numFmtId="0">
      <sharedItems containsString="0" containsBlank="1" containsNumber="1" minValue="0" maxValue="20"/>
    </cacheField>
    <cacheField name="Speed" numFmtId="0">
      <sharedItems containsBlank="1"/>
    </cacheField>
    <cacheField name="Max-min speed" numFmtId="0">
      <sharedItems containsBlank="1"/>
    </cacheField>
    <cacheField name="Distance" numFmtId="0">
      <sharedItems containsString="0" containsBlank="1" containsNumber="1" minValue="25" maxValue="64.37"/>
    </cacheField>
    <cacheField name="Columna2" numFmtId="0">
      <sharedItems containsBlank="1"/>
    </cacheField>
    <cacheField name="Distance2" numFmtId="0">
      <sharedItems containsBlank="1"/>
    </cacheField>
    <cacheField name="Shipping Address" numFmtId="0">
      <sharedItems containsBlank="1"/>
    </cacheField>
    <cacheField name="Street" numFmtId="0">
      <sharedItems containsBlank="1"/>
    </cacheField>
    <cacheField name="City" numFmtId="0">
      <sharedItems containsBlank="1"/>
    </cacheField>
    <cacheField name="Continent" numFmtId="0">
      <sharedItems containsBlank="1" count="3">
        <s v="Asia"/>
        <s v="Europe"/>
        <m/>
      </sharedItems>
    </cacheField>
    <cacheField name="Postal code" numFmtId="0">
      <sharedItems containsString="0" containsBlank="1" containsNumber="1" containsInteger="1" minValue="20095" maxValue="560001"/>
    </cacheField>
    <cacheField name="Country Code" numFmtId="0">
      <sharedItems containsBlank="1"/>
    </cacheField>
    <cacheField name="Unit Price €" numFmtId="0">
      <sharedItems containsBlank="1" containsMixedTypes="1" containsNumber="1" containsInteger="1" minValue="800" maxValue="1100"/>
    </cacheField>
    <cacheField name="Unit Price ¥" numFmtId="2">
      <sharedItems containsString="0" containsBlank="1" containsNumber="1" containsInteger="1" minValue="3500" maxValue="5000"/>
    </cacheField>
    <cacheField name="Unit Price ₹" numFmtId="0">
      <sharedItems containsString="0" containsBlank="1" containsNumber="1" containsInteger="1" minValue="22000" maxValue="30000"/>
    </cacheField>
    <cacheField name="Precio unitario €" numFmtId="164">
      <sharedItems containsBlank="1" containsMixedTypes="1" containsNumber="1" minValue="19.117000000000001" maxValue="1100"/>
    </cacheField>
    <cacheField name="Precio unitario USD$" numFmtId="0">
      <sharedItems containsString="0" containsBlank="1" containsNumber="1" minValue="22.252188" maxValue="1280.3999999999999"/>
    </cacheField>
    <cacheField name="Units Sold" numFmtId="0">
      <sharedItems containsString="0" containsBlank="1" containsNumber="1" containsInteger="1" minValue="100" maxValue="2000"/>
    </cacheField>
    <cacheField name="Discount (%)" numFmtId="0">
      <sharedItems containsString="0" containsBlank="1" containsNumber="1" containsInteger="1" minValue="0" maxValue="20"/>
    </cacheField>
    <cacheField name="Columna1" numFmtId="10">
      <sharedItems containsString="0" containsBlank="1" containsNumber="1" minValue="0" maxValue="0.2"/>
    </cacheField>
    <cacheField name="Ventas totales" numFmtId="0">
      <sharedItems containsString="0" containsBlank="1" containsNumber="1" minValue="2883.8835647999999" maxValue="2432759.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1"/>
    <s v="Sanya"/>
    <s v="Joshi"/>
    <x v="0"/>
    <x v="0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m/>
    <n v="30000"/>
    <n v="285.60000000000002"/>
    <n v="332.4384"/>
    <n v="150"/>
    <n v="10"/>
    <n v="0.1"/>
    <n v="44879.184000000001"/>
  </r>
  <r>
    <n v="2"/>
    <s v="Sanya"/>
    <s v="Joshi"/>
    <x v="0"/>
    <x v="0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m/>
    <m/>
    <n v="25000"/>
    <n v="238.00000000000003"/>
    <n v="277.03200000000004"/>
    <n v="300"/>
    <n v="10"/>
    <n v="0.1"/>
    <n v="74798.640000000014"/>
  </r>
  <r>
    <n v="3"/>
    <s v="Sanya"/>
    <s v="Joshi"/>
    <x v="0"/>
    <x v="0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m/>
    <m/>
    <n v="25000"/>
    <n v="238.00000000000003"/>
    <n v="277.03200000000004"/>
    <n v="200"/>
    <n v="10"/>
    <n v="0.1"/>
    <n v="49865.760000000009"/>
  </r>
  <r>
    <n v="4"/>
    <s v="Fang"/>
    <s v="Liu"/>
    <x v="1"/>
    <x v="0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m/>
    <m/>
    <n v="22000"/>
    <n v="209.44000000000003"/>
    <n v="243.78816"/>
    <n v="500"/>
    <n v="10"/>
    <n v="0.1"/>
    <n v="109704.67200000001"/>
  </r>
  <r>
    <n v="5"/>
    <s v="Fang"/>
    <s v="Liu"/>
    <x v="1"/>
    <x v="0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m/>
    <n v="5000"/>
    <m/>
    <n v="27.31"/>
    <n v="31.788839999999997"/>
    <n v="1000"/>
    <n v="10"/>
    <n v="0.1"/>
    <n v="28609.955999999998"/>
  </r>
  <r>
    <n v="6"/>
    <s v="Fang"/>
    <s v="Liu"/>
    <x v="1"/>
    <x v="0"/>
    <x v="2"/>
    <n v="0"/>
    <s v="28 mph"/>
    <s v="Min  - Max 28 mph"/>
    <n v="40.229999999999997"/>
    <s v="meters"/>
    <s v="40,23 meters"/>
    <s v="101 Nanjing Road, Shanghai, 200001"/>
    <s v="101 Nanjing Road"/>
    <s v=" Shanghai"/>
    <x v="0"/>
    <n v="200001"/>
    <s v="CN"/>
    <m/>
    <n v="3500"/>
    <m/>
    <n v="19.117000000000001"/>
    <n v="22.252188"/>
    <n v="800"/>
    <n v="10"/>
    <n v="0.1"/>
    <n v="16021.575360000001"/>
  </r>
  <r>
    <n v="7"/>
    <s v="Jonas"/>
    <s v="Fischer"/>
    <x v="2"/>
    <x v="0"/>
    <x v="0"/>
    <n v="15"/>
    <s v="30 mph"/>
    <s v="Min 15 - Max 30 mph"/>
    <n v="48.28"/>
    <s v="meters"/>
    <s v="48,28 meters"/>
    <s v="303 Ringstraße, Hamburg, 20095"/>
    <s v="303 Ringstraße"/>
    <s v=" Hamburg"/>
    <x v="1"/>
    <n v="20095"/>
    <s v="DE"/>
    <m/>
    <n v="4200"/>
    <m/>
    <n v="22.9404"/>
    <n v="26.702625599999998"/>
    <n v="120"/>
    <n v="10"/>
    <n v="0.1"/>
    <n v="2883.8835647999999"/>
  </r>
  <r>
    <n v="8"/>
    <s v="Jonas"/>
    <s v="Fischer"/>
    <x v="2"/>
    <x v="0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n v="1000"/>
    <m/>
    <m/>
    <n v="1000"/>
    <n v="1164"/>
    <n v="200"/>
    <n v="10"/>
    <n v="0.1"/>
    <n v="209520"/>
  </r>
  <r>
    <n v="9"/>
    <s v="Jonas"/>
    <s v="Fischer"/>
    <x v="2"/>
    <x v="0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800"/>
    <m/>
    <m/>
    <n v="800"/>
    <n v="931.19999999999993"/>
    <n v="150"/>
    <n v="10"/>
    <n v="0.1"/>
    <n v="125712"/>
  </r>
  <r>
    <n v="10"/>
    <s v="Théo"/>
    <s v="Bernard"/>
    <x v="3"/>
    <x v="0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800"/>
    <m/>
    <m/>
    <n v="800"/>
    <n v="931.19999999999993"/>
    <n v="100"/>
    <n v="10"/>
    <n v="0.1"/>
    <n v="83808"/>
  </r>
  <r>
    <n v="11"/>
    <s v="Théo"/>
    <s v="Bernard"/>
    <x v="3"/>
    <x v="0"/>
    <x v="1"/>
    <n v="20"/>
    <s v="35 mph"/>
    <s v="Min 20 - Max 35 mph"/>
    <n v="64.37"/>
    <s v="meters"/>
    <s v="64,37 meters"/>
    <s v="57 Boulevard Saint-Germain, Paris, 75005"/>
    <s v="57 Boulevard Saint-Germain"/>
    <s v=" Paris"/>
    <x v="1"/>
    <n v="75005"/>
    <s v="FR"/>
    <n v="950"/>
    <m/>
    <m/>
    <n v="950"/>
    <n v="1105.8"/>
    <n v="250"/>
    <n v="10"/>
    <n v="0.1"/>
    <n v="248805"/>
  </r>
  <r>
    <n v="12"/>
    <s v="Théo"/>
    <s v="Bernard"/>
    <x v="3"/>
    <x v="0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n v="1100"/>
    <m/>
    <m/>
    <n v="1100"/>
    <n v="1280.3999999999999"/>
    <n v="180"/>
    <n v="10"/>
    <n v="0.1"/>
    <n v="207424.8"/>
  </r>
  <r>
    <n v="13"/>
    <s v="Sanya"/>
    <s v="Joshi"/>
    <x v="0"/>
    <x v="1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n v="900"/>
    <m/>
    <m/>
    <n v="900"/>
    <n v="1047.5999999999999"/>
    <n v="160"/>
    <n v="0"/>
    <n v="0"/>
    <n v="167616"/>
  </r>
  <r>
    <n v="14"/>
    <s v="Sanya"/>
    <s v="Joshi"/>
    <x v="0"/>
    <x v="1"/>
    <x v="1"/>
    <n v="17.515000000000001"/>
    <s v="35 mph"/>
    <s v="Min 17,515 - Max 35 mph"/>
    <n v="40"/>
    <s v="miles"/>
    <s v="64373,36 meters"/>
    <s v="457 Brigade Road, Bengaluru, 560001"/>
    <s v="457 Brigade Road"/>
    <s v=" Bengaluru"/>
    <x v="0"/>
    <n v="560001"/>
    <s v="IN"/>
    <n v="1050"/>
    <m/>
    <m/>
    <n v="1050"/>
    <n v="1222.1999999999998"/>
    <n v="350"/>
    <n v="0"/>
    <n v="0"/>
    <n v="427769.99999999994"/>
  </r>
  <r>
    <n v="15"/>
    <s v="Sanya"/>
    <s v="Joshi"/>
    <x v="0"/>
    <x v="1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m/>
    <m/>
    <n v="30000"/>
    <n v="285.60000000000002"/>
    <n v="332.4384"/>
    <n v="220"/>
    <n v="0"/>
    <n v="0"/>
    <n v="73136.448000000004"/>
  </r>
  <r>
    <n v="16"/>
    <s v="Fang"/>
    <s v="Liu"/>
    <x v="1"/>
    <x v="1"/>
    <x v="0"/>
    <n v="15"/>
    <s v="30 mph"/>
    <s v="Min 15 - Max 30 mph"/>
    <n v="48.28"/>
    <s v="meters"/>
    <s v="48,28 meters"/>
    <s v="99 Nanjing Road, Shanghai, 200001"/>
    <s v="99 Nanjing Road"/>
    <s v=" Shanghai"/>
    <x v="0"/>
    <n v="200001"/>
    <s v="CN"/>
    <m/>
    <m/>
    <n v="25000"/>
    <n v="238.00000000000003"/>
    <n v="277.03200000000004"/>
    <n v="550"/>
    <n v="0"/>
    <n v="0"/>
    <n v="152367.60000000003"/>
  </r>
  <r>
    <n v="17"/>
    <s v="Fang"/>
    <s v="Liu"/>
    <x v="1"/>
    <x v="1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m/>
    <m/>
    <n v="22000"/>
    <n v="209.44000000000003"/>
    <n v="243.78816"/>
    <n v="1200"/>
    <n v="0"/>
    <n v="0"/>
    <n v="292545.79200000002"/>
  </r>
  <r>
    <n v="18"/>
    <s v="Fang"/>
    <s v="Liu"/>
    <x v="1"/>
    <x v="1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m/>
    <n v="5000"/>
    <m/>
    <n v="27.31"/>
    <n v="31.788839999999997"/>
    <n v="850"/>
    <n v="0"/>
    <n v="0"/>
    <n v="27020.513999999996"/>
  </r>
  <r>
    <n v="19"/>
    <s v="Jonas"/>
    <s v="Fischer"/>
    <x v="2"/>
    <x v="1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m/>
    <n v="3500"/>
    <m/>
    <n v="19.117000000000001"/>
    <n v="22.252188"/>
    <n v="130"/>
    <n v="0"/>
    <n v="0"/>
    <n v="2892.7844399999999"/>
  </r>
  <r>
    <n v="20"/>
    <s v="Jonas"/>
    <s v="Fischer"/>
    <x v="2"/>
    <x v="1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m/>
    <n v="3500"/>
    <m/>
    <n v="19.117000000000001"/>
    <n v="22.252188"/>
    <n v="220"/>
    <n v="0"/>
    <n v="0"/>
    <n v="4895.4813599999998"/>
  </r>
  <r>
    <n v="21"/>
    <s v="Jonas"/>
    <s v="Fischer"/>
    <x v="2"/>
    <x v="1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m/>
    <n v="4200"/>
    <m/>
    <n v="22.9404"/>
    <n v="26.702625599999998"/>
    <n v="160"/>
    <n v="0"/>
    <n v="0"/>
    <n v="4272.4200959999998"/>
  </r>
  <r>
    <n v="22"/>
    <s v="Théo"/>
    <s v="Bernard"/>
    <x v="3"/>
    <x v="1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1000"/>
    <m/>
    <m/>
    <n v="1000"/>
    <n v="1164"/>
    <n v="110"/>
    <n v="0"/>
    <n v="0"/>
    <n v="128040"/>
  </r>
  <r>
    <n v="23"/>
    <s v="Théo"/>
    <s v="Bernard"/>
    <x v="3"/>
    <x v="1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n v="800"/>
    <m/>
    <m/>
    <n v="800"/>
    <n v="931.19999999999993"/>
    <n v="260"/>
    <n v="0"/>
    <n v="0"/>
    <n v="242111.99999999997"/>
  </r>
  <r>
    <n v="24"/>
    <s v="Théo"/>
    <s v="Bernard"/>
    <x v="3"/>
    <x v="1"/>
    <x v="2"/>
    <n v="18"/>
    <s v="28 mph"/>
    <s v="Min 18 - Max 28 mph"/>
    <n v="40.229999999999997"/>
    <s v="meters"/>
    <s v="40,23 meters"/>
    <s v="58 Boulevard Saint-Germain, Paris, 75005"/>
    <s v="58 Boulevard Saint-Germain"/>
    <s v=" Paris"/>
    <x v="1"/>
    <n v="75005"/>
    <s v="FR"/>
    <n v="950"/>
    <m/>
    <m/>
    <n v="950"/>
    <n v="1105.8"/>
    <n v="200"/>
    <n v="0"/>
    <n v="0"/>
    <n v="221160"/>
  </r>
  <r>
    <n v="25"/>
    <s v="Sanya"/>
    <s v="Joshi"/>
    <x v="0"/>
    <x v="2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n v="1100"/>
    <m/>
    <m/>
    <n v="1100"/>
    <n v="1280.3999999999999"/>
    <n v="160"/>
    <n v="0"/>
    <n v="0"/>
    <n v="204863.99999999997"/>
  </r>
  <r>
    <n v="26"/>
    <s v="Sanya"/>
    <s v="Joshi"/>
    <x v="0"/>
    <x v="2"/>
    <x v="1"/>
    <n v="17.515000000000001"/>
    <s v="35 mph"/>
    <s v="Min 17,515 - Max 35 mph"/>
    <n v="40"/>
    <s v="miles"/>
    <s v="64373,36 meters"/>
    <s v="457 Brigade Road, Bengaluru, 560001"/>
    <s v="457 Brigade Road"/>
    <s v=" Bengaluru"/>
    <x v="0"/>
    <n v="560001"/>
    <s v="IN"/>
    <n v="900"/>
    <m/>
    <m/>
    <n v="900"/>
    <n v="1047.5999999999999"/>
    <n v="350"/>
    <n v="0"/>
    <n v="0"/>
    <n v="366659.99999999994"/>
  </r>
  <r>
    <n v="27"/>
    <s v="Sanya"/>
    <s v="Joshi"/>
    <x v="0"/>
    <x v="2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n v="900"/>
    <m/>
    <m/>
    <n v="900"/>
    <n v="1047.5999999999999"/>
    <n v="220"/>
    <n v="0"/>
    <n v="0"/>
    <n v="230471.99999999997"/>
  </r>
  <r>
    <n v="28"/>
    <s v="Fang"/>
    <s v="Liu"/>
    <x v="1"/>
    <x v="2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n v="1050"/>
    <m/>
    <m/>
    <n v="1050"/>
    <n v="1222.1999999999998"/>
    <n v="550"/>
    <n v="0"/>
    <n v="0"/>
    <n v="672209.99999999988"/>
  </r>
  <r>
    <n v="29"/>
    <s v="Fang"/>
    <s v="Liu"/>
    <x v="1"/>
    <x v="2"/>
    <x v="1"/>
    <n v="20"/>
    <s v="35 mph"/>
    <s v="Min 20 - Max 35 mph"/>
    <n v="64.37"/>
    <s v="meters"/>
    <s v="64,37 meters"/>
    <s v="100 Nanjing Road, Shanghai, 200001"/>
    <s v="100 Nanjing Road"/>
    <s v=" Shanghai"/>
    <x v="0"/>
    <n v="200001"/>
    <s v="CN"/>
    <m/>
    <m/>
    <n v="30000"/>
    <n v="285.60000000000002"/>
    <n v="332.4384"/>
    <n v="1200"/>
    <n v="0"/>
    <n v="0"/>
    <n v="398926.08000000002"/>
  </r>
  <r>
    <n v="30"/>
    <s v="Fang"/>
    <s v="Liu"/>
    <x v="1"/>
    <x v="2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m/>
    <m/>
    <n v="25000"/>
    <n v="238.00000000000003"/>
    <n v="277.03200000000004"/>
    <n v="850"/>
    <n v="0"/>
    <n v="0"/>
    <n v="235477.20000000004"/>
  </r>
  <r>
    <n v="31"/>
    <s v="Jonas"/>
    <s v="Fischer"/>
    <x v="2"/>
    <x v="2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m/>
    <m/>
    <n v="22000"/>
    <n v="209.44000000000003"/>
    <n v="243.78816"/>
    <n v="130"/>
    <n v="0"/>
    <n v="0"/>
    <n v="31692.460800000001"/>
  </r>
  <r>
    <n v="32"/>
    <s v="Jonas"/>
    <s v="Fischer"/>
    <x v="2"/>
    <x v="2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m/>
    <n v="5000"/>
    <m/>
    <n v="27.31"/>
    <n v="31.788839999999997"/>
    <n v="220"/>
    <n v="0"/>
    <n v="0"/>
    <n v="6993.5447999999997"/>
  </r>
  <r>
    <n v="33"/>
    <s v="Jonas"/>
    <s v="Fischer"/>
    <x v="2"/>
    <x v="2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m/>
    <n v="3500"/>
    <m/>
    <n v="19.117000000000001"/>
    <n v="22.252188"/>
    <n v="160"/>
    <n v="0"/>
    <n v="0"/>
    <n v="3560.3500800000002"/>
  </r>
  <r>
    <n v="34"/>
    <s v="Théo"/>
    <s v="Bernard"/>
    <x v="3"/>
    <x v="2"/>
    <x v="0"/>
    <n v="15"/>
    <s v="30 mph"/>
    <s v="Min 15 - Max 30 mph"/>
    <n v="48.28"/>
    <s v="meters"/>
    <s v="48,28 meters"/>
    <s v="56 Boulevard Saint-Germain, Paris, 75005"/>
    <s v="56 Boulevard Saint-Germain"/>
    <s v=" Paris"/>
    <x v="1"/>
    <n v="75005"/>
    <s v="FR"/>
    <m/>
    <n v="4200"/>
    <m/>
    <n v="22.9404"/>
    <n v="26.702625599999998"/>
    <n v="110"/>
    <n v="0"/>
    <n v="0"/>
    <n v="2937.2888159999998"/>
  </r>
  <r>
    <n v="35"/>
    <s v="Théo"/>
    <s v="Bernard"/>
    <x v="3"/>
    <x v="2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m/>
    <n v="4200"/>
    <m/>
    <n v="22.9404"/>
    <n v="26.702625599999998"/>
    <n v="260"/>
    <n v="0"/>
    <n v="0"/>
    <n v="6942.682655999999"/>
  </r>
  <r>
    <n v="36"/>
    <s v="Théo"/>
    <s v="Bernard"/>
    <x v="3"/>
    <x v="2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n v="1000"/>
    <m/>
    <m/>
    <n v="1000"/>
    <n v="1164"/>
    <n v="200"/>
    <n v="0"/>
    <n v="0"/>
    <n v="232800"/>
  </r>
  <r>
    <n v="37"/>
    <s v="Sanya"/>
    <s v="Joshi"/>
    <x v="0"/>
    <x v="3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n v="800"/>
    <m/>
    <m/>
    <n v="800"/>
    <n v="931.19999999999993"/>
    <n v="200"/>
    <n v="0"/>
    <n v="0"/>
    <n v="186240"/>
  </r>
  <r>
    <n v="38"/>
    <s v="Sanya"/>
    <s v="Joshi"/>
    <x v="0"/>
    <x v="3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n v="950"/>
    <m/>
    <m/>
    <n v="950"/>
    <n v="1105.8"/>
    <n v="450"/>
    <n v="0"/>
    <n v="0"/>
    <n v="497610"/>
  </r>
  <r>
    <n v="39"/>
    <s v="Sanya"/>
    <s v="Joshi"/>
    <x v="0"/>
    <x v="3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n v="1100"/>
    <m/>
    <m/>
    <n v="1100"/>
    <n v="1280.3999999999999"/>
    <n v="300"/>
    <n v="0"/>
    <n v="0"/>
    <n v="384119.99999999994"/>
  </r>
  <r>
    <n v="40"/>
    <s v="Fang"/>
    <s v="Liu"/>
    <x v="1"/>
    <x v="3"/>
    <x v="0"/>
    <n v="17.515000000000001"/>
    <s v="30 mph"/>
    <s v="Min 17,515 - Max 30 mph"/>
    <n v="30"/>
    <s v="miles"/>
    <s v="48280,02 meters"/>
    <s v="99 Nanjing Road, Shanghai, 200001"/>
    <s v="99 Nanjing Road"/>
    <s v=" Shanghai"/>
    <x v="0"/>
    <n v="200001"/>
    <s v="CN"/>
    <n v="900"/>
    <m/>
    <m/>
    <n v="900"/>
    <n v="1047.5999999999999"/>
    <n v="700"/>
    <n v="0"/>
    <n v="0"/>
    <n v="733319.99999999988"/>
  </r>
  <r>
    <n v="41"/>
    <s v="Fang"/>
    <s v="Liu"/>
    <x v="1"/>
    <x v="3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1050"/>
    <m/>
    <m/>
    <n v="1050"/>
    <n v="1222.1999999999998"/>
    <n v="1600"/>
    <n v="0"/>
    <n v="0"/>
    <n v="1955519.9999999998"/>
  </r>
  <r>
    <n v="42"/>
    <s v="Fang"/>
    <s v="Liu"/>
    <x v="1"/>
    <x v="3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m/>
    <m/>
    <n v="30000"/>
    <n v="285.60000000000002"/>
    <n v="332.4384"/>
    <n v="1000"/>
    <n v="0"/>
    <n v="0"/>
    <n v="332438.40000000002"/>
  </r>
  <r>
    <n v="43"/>
    <s v="Jonas"/>
    <s v="Fischer"/>
    <x v="2"/>
    <x v="3"/>
    <x v="0"/>
    <n v="15"/>
    <s v="30 mph"/>
    <s v="Min 15 - Max 30 mph"/>
    <n v="48.28"/>
    <s v="meters"/>
    <s v="48,28 meters"/>
    <s v="303 Ringstraße, Hamburg, 20095"/>
    <s v="303 Ringstraße"/>
    <s v=" Hamburg"/>
    <x v="1"/>
    <n v="20095"/>
    <s v="DE"/>
    <m/>
    <m/>
    <n v="25000"/>
    <n v="238.00000000000003"/>
    <n v="277.03200000000004"/>
    <n v="160"/>
    <n v="0"/>
    <n v="0"/>
    <n v="44325.12000000001"/>
  </r>
  <r>
    <n v="44"/>
    <s v="Jonas"/>
    <s v="Fischer"/>
    <x v="2"/>
    <x v="3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m/>
    <m/>
    <n v="22000"/>
    <n v="209.44000000000003"/>
    <n v="243.78816"/>
    <n v="280"/>
    <n v="0"/>
    <n v="0"/>
    <n v="68260.684800000003"/>
  </r>
  <r>
    <n v="45"/>
    <s v="Jonas"/>
    <s v="Fischer"/>
    <x v="2"/>
    <x v="3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m/>
    <n v="5000"/>
    <m/>
    <n v="27.31"/>
    <n v="31.788839999999997"/>
    <n v="200"/>
    <n v="0"/>
    <n v="0"/>
    <n v="6357.7679999999991"/>
  </r>
  <r>
    <n v="46"/>
    <s v="Théo"/>
    <s v="Bernard"/>
    <x v="3"/>
    <x v="3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m/>
    <n v="3500"/>
    <m/>
    <n v="19.117000000000001"/>
    <n v="22.252188"/>
    <n v="130"/>
    <n v="0"/>
    <n v="0"/>
    <n v="2892.7844399999999"/>
  </r>
  <r>
    <n v="47"/>
    <s v="Théo"/>
    <s v="Bernard"/>
    <x v="3"/>
    <x v="3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m/>
    <n v="4200"/>
    <m/>
    <n v="22.9404"/>
    <n v="26.702625599999998"/>
    <n v="300"/>
    <n v="0"/>
    <n v="0"/>
    <n v="8010.7876799999995"/>
  </r>
  <r>
    <n v="48"/>
    <s v="Théo"/>
    <s v="Bernard"/>
    <x v="3"/>
    <x v="3"/>
    <x v="2"/>
    <n v="17.515000000000001"/>
    <s v="28 mph"/>
    <s v="Min 17,515 - Max 28 mph"/>
    <n v="40.229999999999997"/>
    <s v="meters"/>
    <s v="40,23 meters"/>
    <s v="58 Boulevard Saint-Germain, Paris, 75005"/>
    <s v="58 Boulevard Saint-Germain"/>
    <s v=" Paris"/>
    <x v="1"/>
    <n v="75005"/>
    <s v="FR"/>
    <n v="1000"/>
    <m/>
    <m/>
    <n v="1000"/>
    <n v="1164"/>
    <n v="230"/>
    <n v="0"/>
    <n v="0"/>
    <n v="267720"/>
  </r>
  <r>
    <n v="49"/>
    <s v="Sanya"/>
    <s v="Joshi"/>
    <x v="0"/>
    <x v="4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n v="1000"/>
    <m/>
    <m/>
    <n v="1000"/>
    <n v="1164"/>
    <n v="200"/>
    <n v="0"/>
    <n v="0"/>
    <n v="232800"/>
  </r>
  <r>
    <n v="50"/>
    <s v="Sanya"/>
    <s v="Joshi"/>
    <x v="0"/>
    <x v="4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n v="800"/>
    <m/>
    <m/>
    <n v="800"/>
    <n v="931.19999999999993"/>
    <n v="450"/>
    <n v="0"/>
    <n v="0"/>
    <n v="419039.99999999994"/>
  </r>
  <r>
    <n v="51"/>
    <s v="Sanya"/>
    <s v="Joshi"/>
    <x v="0"/>
    <x v="4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n v="950"/>
    <m/>
    <m/>
    <n v="950"/>
    <n v="1105.8"/>
    <n v="350"/>
    <n v="0"/>
    <n v="0"/>
    <n v="387030"/>
  </r>
  <r>
    <n v="52"/>
    <s v="Fang"/>
    <s v="Liu"/>
    <x v="1"/>
    <x v="4"/>
    <x v="0"/>
    <n v="15"/>
    <s v="30 mph"/>
    <s v="Min 15 - Max 30 mph"/>
    <n v="48.28"/>
    <s v="meters"/>
    <s v="48,28 meters"/>
    <s v="99 Nanjing Road, Shanghai, 200001"/>
    <s v="99 Nanjing Road"/>
    <s v=" Shanghai"/>
    <x v="0"/>
    <n v="200001"/>
    <s v="CN"/>
    <n v="1100"/>
    <m/>
    <m/>
    <n v="1100"/>
    <n v="1280.3999999999999"/>
    <n v="700"/>
    <n v="0"/>
    <n v="0"/>
    <n v="896279.99999999988"/>
  </r>
  <r>
    <n v="53"/>
    <s v="Fang"/>
    <s v="Liu"/>
    <x v="1"/>
    <x v="4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900"/>
    <m/>
    <m/>
    <n v="900"/>
    <n v="1047.5999999999999"/>
    <n v="1600"/>
    <n v="0"/>
    <n v="0"/>
    <n v="1676159.9999999998"/>
  </r>
  <r>
    <n v="54"/>
    <s v="Fang"/>
    <s v="Liu"/>
    <x v="1"/>
    <x v="4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1050"/>
    <m/>
    <m/>
    <n v="1050"/>
    <n v="1222.1999999999998"/>
    <n v="1000"/>
    <n v="0"/>
    <n v="0"/>
    <n v="1222199.9999999998"/>
  </r>
  <r>
    <n v="55"/>
    <s v="Jonas"/>
    <s v="Fischer"/>
    <x v="2"/>
    <x v="4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m/>
    <m/>
    <n v="30000"/>
    <n v="285.60000000000002"/>
    <n v="332.4384"/>
    <n v="180"/>
    <n v="0"/>
    <n v="0"/>
    <n v="59838.911999999997"/>
  </r>
  <r>
    <n v="56"/>
    <s v="Jonas"/>
    <s v="Fischer"/>
    <x v="2"/>
    <x v="4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m/>
    <m/>
    <n v="25000"/>
    <n v="238.00000000000003"/>
    <n v="277.03200000000004"/>
    <n v="320"/>
    <n v="0"/>
    <n v="0"/>
    <n v="88650.24000000002"/>
  </r>
  <r>
    <n v="57"/>
    <s v="Jonas"/>
    <s v="Fischer"/>
    <x v="2"/>
    <x v="4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m/>
    <m/>
    <n v="22000"/>
    <n v="209.44000000000003"/>
    <n v="243.78816"/>
    <n v="220"/>
    <n v="0"/>
    <n v="0"/>
    <n v="53633.395199999999"/>
  </r>
  <r>
    <n v="58"/>
    <s v="Théo"/>
    <s v="Bernard"/>
    <x v="3"/>
    <x v="4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m/>
    <n v="5000"/>
    <m/>
    <n v="27.31"/>
    <n v="31.788839999999997"/>
    <n v="140"/>
    <n v="0"/>
    <n v="0"/>
    <n v="4450.4375999999993"/>
  </r>
  <r>
    <n v="59"/>
    <s v="Théo"/>
    <s v="Bernard"/>
    <x v="3"/>
    <x v="4"/>
    <x v="1"/>
    <n v="20"/>
    <s v="35 mph"/>
    <s v="Min 20 - Max 35 mph"/>
    <n v="64.37"/>
    <s v="meters"/>
    <s v="64,37 meters"/>
    <s v="57 Boulevard Saint-Germain, Paris, 75005"/>
    <s v="57 Boulevard Saint-Germain"/>
    <s v=" Paris"/>
    <x v="1"/>
    <n v="75005"/>
    <s v="FR"/>
    <m/>
    <n v="3500"/>
    <m/>
    <n v="19.117000000000001"/>
    <n v="22.252188"/>
    <n v="300"/>
    <n v="0"/>
    <n v="0"/>
    <n v="6675.6563999999998"/>
  </r>
  <r>
    <n v="60"/>
    <s v="Théo"/>
    <s v="Bernard"/>
    <x v="3"/>
    <x v="4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m/>
    <n v="3500"/>
    <m/>
    <n v="19.117000000000001"/>
    <n v="22.252188"/>
    <n v="280"/>
    <n v="0"/>
    <n v="0"/>
    <n v="6230.6126400000003"/>
  </r>
  <r>
    <n v="61"/>
    <s v="Sanya"/>
    <s v="Joshi"/>
    <x v="0"/>
    <x v="5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n v="4200"/>
    <m/>
    <n v="22.9404"/>
    <n v="26.702625599999998"/>
    <n v="250"/>
    <n v="0"/>
    <n v="0"/>
    <n v="6675.6563999999989"/>
  </r>
  <r>
    <n v="62"/>
    <s v="Sanya"/>
    <s v="Joshi"/>
    <x v="0"/>
    <x v="5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n v="1000"/>
    <m/>
    <m/>
    <n v="1000"/>
    <n v="1164"/>
    <n v="500"/>
    <n v="0"/>
    <n v="0"/>
    <n v="582000"/>
  </r>
  <r>
    <n v="63"/>
    <s v="Sanya"/>
    <s v="Joshi"/>
    <x v="0"/>
    <x v="5"/>
    <x v="2"/>
    <n v="17.515000000000001"/>
    <s v="28 mph"/>
    <s v="Min 17,515 - Max 28 mph"/>
    <n v="25"/>
    <s v="miles"/>
    <s v="40233,35 meters"/>
    <s v="458 Brigade Road, Bengaluru, 560001"/>
    <s v="458 Brigade Road"/>
    <s v=" Bengaluru"/>
    <x v="0"/>
    <n v="560001"/>
    <s v="IN"/>
    <n v="800"/>
    <m/>
    <m/>
    <n v="800"/>
    <n v="931.19999999999993"/>
    <n v="400"/>
    <n v="0"/>
    <n v="0"/>
    <n v="372480"/>
  </r>
  <r>
    <n v="64"/>
    <s v="Fang"/>
    <s v="Liu"/>
    <x v="1"/>
    <x v="5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n v="950"/>
    <m/>
    <m/>
    <n v="950"/>
    <n v="1105.8"/>
    <n v="800"/>
    <n v="0"/>
    <n v="0"/>
    <n v="884640"/>
  </r>
  <r>
    <n v="65"/>
    <s v="Fang"/>
    <s v="Liu"/>
    <x v="1"/>
    <x v="5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1100"/>
    <m/>
    <m/>
    <n v="1100"/>
    <n v="1280.3999999999999"/>
    <n v="1900"/>
    <n v="0"/>
    <n v="0"/>
    <n v="2432759.9999999995"/>
  </r>
  <r>
    <n v="66"/>
    <s v="Fang"/>
    <s v="Liu"/>
    <x v="1"/>
    <x v="5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900"/>
    <m/>
    <m/>
    <n v="900"/>
    <n v="1047.5999999999999"/>
    <n v="1200"/>
    <n v="0"/>
    <n v="0"/>
    <n v="1257120"/>
  </r>
  <r>
    <n v="67"/>
    <s v="Jonas"/>
    <s v="Fischer"/>
    <x v="2"/>
    <x v="5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n v="1050"/>
    <m/>
    <m/>
    <n v="1050"/>
    <n v="1222.1999999999998"/>
    <n v="200"/>
    <n v="0"/>
    <n v="0"/>
    <n v="244439.99999999997"/>
  </r>
  <r>
    <n v="68"/>
    <s v="Jonas"/>
    <s v="Fischer"/>
    <x v="2"/>
    <x v="5"/>
    <x v="1"/>
    <n v="20"/>
    <s v="35 mph"/>
    <s v="Min 20 - Max 35 mph"/>
    <n v="64.37"/>
    <s v="meters"/>
    <s v="64,37 meters"/>
    <s v="304 Ringstraße, Hamburg, 20095"/>
    <s v="304 Ringstraße"/>
    <s v=" Hamburg"/>
    <x v="1"/>
    <n v="20095"/>
    <s v="DE"/>
    <m/>
    <m/>
    <n v="30000"/>
    <n v="285.60000000000002"/>
    <n v="332.4384"/>
    <n v="350"/>
    <n v="0"/>
    <n v="0"/>
    <n v="116353.44"/>
  </r>
  <r>
    <n v="69"/>
    <s v="Jonas"/>
    <s v="Fischer"/>
    <x v="2"/>
    <x v="5"/>
    <x v="2"/>
    <n v="18"/>
    <s v="28 mph"/>
    <s v="Min 18 - Max 28 mph"/>
    <n v="40.229999999999997"/>
    <s v="meters"/>
    <s v="40,23 meters"/>
    <s v="305 Ringstraße, Hamburg, 20095"/>
    <s v="305 Ringstraße"/>
    <s v=" Hamburg"/>
    <x v="1"/>
    <n v="20095"/>
    <s v="DE"/>
    <m/>
    <m/>
    <n v="25000"/>
    <n v="238.00000000000003"/>
    <n v="277.03200000000004"/>
    <n v="250"/>
    <n v="0"/>
    <n v="0"/>
    <n v="69258.000000000015"/>
  </r>
  <r>
    <n v="70"/>
    <s v="Théo"/>
    <s v="Bernard"/>
    <x v="3"/>
    <x v="5"/>
    <x v="0"/>
    <n v="17.515000000000001"/>
    <s v="30 mph"/>
    <s v="Min 17,515 - Max 30 mph"/>
    <n v="30"/>
    <s v="miles"/>
    <s v="48280,02 meters"/>
    <s v="56 Boulevard Saint-Germain, Paris, 75005"/>
    <s v="56 Boulevard Saint-Germain"/>
    <s v=" Paris"/>
    <x v="1"/>
    <n v="75005"/>
    <s v="FR"/>
    <m/>
    <m/>
    <n v="22000"/>
    <n v="209.44000000000003"/>
    <n v="243.78816"/>
    <n v="150"/>
    <n v="0"/>
    <n v="0"/>
    <n v="36568.224000000002"/>
  </r>
  <r>
    <n v="71"/>
    <s v="Théo"/>
    <s v="Bernard"/>
    <x v="3"/>
    <x v="5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m/>
    <n v="5000"/>
    <m/>
    <n v="27.31"/>
    <n v="31.788839999999997"/>
    <n v="350"/>
    <n v="0"/>
    <n v="0"/>
    <n v="11126.093999999999"/>
  </r>
  <r>
    <n v="72"/>
    <s v="Théo"/>
    <s v="Bernard"/>
    <x v="3"/>
    <x v="5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m/>
    <n v="3500"/>
    <m/>
    <n v="19.117000000000001"/>
    <n v="22.252188"/>
    <n v="300"/>
    <n v="0"/>
    <n v="0"/>
    <n v="6675.6563999999998"/>
  </r>
  <r>
    <n v="73"/>
    <s v="Sanya"/>
    <s v="Joshi"/>
    <x v="0"/>
    <x v="6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n v="4200"/>
    <m/>
    <n v="22.9404"/>
    <n v="26.702625599999998"/>
    <n v="250"/>
    <n v="0"/>
    <n v="0"/>
    <n v="6675.6563999999989"/>
  </r>
  <r>
    <n v="74"/>
    <s v="Sanya"/>
    <s v="Joshi"/>
    <x v="0"/>
    <x v="6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n v="1000"/>
    <m/>
    <m/>
    <n v="1000"/>
    <n v="1164"/>
    <n v="500"/>
    <n v="0"/>
    <n v="0"/>
    <n v="582000"/>
  </r>
  <r>
    <n v="75"/>
    <s v="Sanya"/>
    <s v="Joshi"/>
    <x v="0"/>
    <x v="6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n v="800"/>
    <m/>
    <m/>
    <n v="800"/>
    <n v="931.19999999999993"/>
    <n v="400"/>
    <n v="0"/>
    <n v="0"/>
    <n v="372480"/>
  </r>
  <r>
    <n v="76"/>
    <s v="Fang"/>
    <s v="Liu"/>
    <x v="1"/>
    <x v="6"/>
    <x v="0"/>
    <n v="15"/>
    <s v="30 mph"/>
    <s v="Min 15 - Max 30 mph"/>
    <n v="48.28"/>
    <s v="meters"/>
    <s v="48,28 meters"/>
    <s v="99 Nanjing Road, Shanghai, 200001"/>
    <s v="99 Nanjing Road"/>
    <s v=" Shanghai"/>
    <x v="0"/>
    <n v="200001"/>
    <s v="CN"/>
    <n v="950"/>
    <m/>
    <m/>
    <n v="950"/>
    <n v="1105.8"/>
    <n v="800"/>
    <n v="0"/>
    <n v="0"/>
    <n v="884640"/>
  </r>
  <r>
    <n v="77"/>
    <s v="Fang"/>
    <s v="Liu"/>
    <x v="1"/>
    <x v="6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1100"/>
    <m/>
    <m/>
    <n v="1100"/>
    <n v="1280.3999999999999"/>
    <n v="1800"/>
    <n v="0"/>
    <n v="0"/>
    <n v="2304719.9999999995"/>
  </r>
  <r>
    <n v="78"/>
    <s v="Fang"/>
    <s v="Liu"/>
    <x v="1"/>
    <x v="6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1100"/>
    <m/>
    <m/>
    <n v="1100"/>
    <n v="1280.3999999999999"/>
    <n v="1200"/>
    <n v="0"/>
    <n v="0"/>
    <n v="1536479.9999999998"/>
  </r>
  <r>
    <n v="79"/>
    <s v="Jonas"/>
    <s v="Fischer"/>
    <x v="2"/>
    <x v="6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n v="900"/>
    <m/>
    <m/>
    <n v="900"/>
    <n v="1047.5999999999999"/>
    <n v="200"/>
    <n v="0"/>
    <n v="0"/>
    <n v="209519.99999999997"/>
  </r>
  <r>
    <n v="80"/>
    <s v="Jonas"/>
    <s v="Fischer"/>
    <x v="2"/>
    <x v="6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n v="1050"/>
    <m/>
    <m/>
    <n v="1050"/>
    <n v="1222.1999999999998"/>
    <n v="350"/>
    <n v="0"/>
    <n v="0"/>
    <n v="427769.99999999994"/>
  </r>
  <r>
    <n v="81"/>
    <s v="Jonas"/>
    <s v="Fischer"/>
    <x v="2"/>
    <x v="6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1050"/>
    <m/>
    <m/>
    <n v="1050"/>
    <n v="1222.1999999999998"/>
    <n v="250"/>
    <n v="0"/>
    <n v="0"/>
    <n v="305549.99999999994"/>
  </r>
  <r>
    <n v="82"/>
    <s v="Théo"/>
    <s v="Bernard"/>
    <x v="3"/>
    <x v="6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m/>
    <m/>
    <n v="30000"/>
    <n v="285.60000000000002"/>
    <n v="332.4384"/>
    <n v="160"/>
    <n v="0"/>
    <n v="0"/>
    <n v="53190.144"/>
  </r>
  <r>
    <n v="83"/>
    <s v="Théo"/>
    <s v="Bernard"/>
    <x v="3"/>
    <x v="6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m/>
    <m/>
    <n v="25000"/>
    <n v="238.00000000000003"/>
    <n v="277.03200000000004"/>
    <n v="320"/>
    <n v="0"/>
    <n v="0"/>
    <n v="88650.24000000002"/>
  </r>
  <r>
    <n v="84"/>
    <s v="Théo"/>
    <s v="Bernard"/>
    <x v="3"/>
    <x v="6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m/>
    <m/>
    <n v="22000"/>
    <n v="209.44000000000003"/>
    <n v="243.78816"/>
    <n v="300"/>
    <n v="0"/>
    <n v="0"/>
    <n v="73136.448000000004"/>
  </r>
  <r>
    <n v="85"/>
    <s v="Sanya"/>
    <s v="Joshi"/>
    <x v="0"/>
    <x v="7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n v="5000"/>
    <m/>
    <n v="27.31"/>
    <n v="31.788839999999997"/>
    <n v="200"/>
    <n v="0"/>
    <n v="0"/>
    <n v="6357.7679999999991"/>
  </r>
  <r>
    <n v="86"/>
    <s v="Sanya"/>
    <s v="Joshi"/>
    <x v="0"/>
    <x v="7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m/>
    <n v="3500"/>
    <m/>
    <n v="19.117000000000001"/>
    <n v="22.252188"/>
    <n v="450"/>
    <n v="0"/>
    <n v="0"/>
    <n v="10013.4846"/>
  </r>
  <r>
    <n v="87"/>
    <s v="Sanya"/>
    <s v="Joshi"/>
    <x v="0"/>
    <x v="7"/>
    <x v="2"/>
    <n v="18"/>
    <s v="28 mph"/>
    <s v="Min 18 - Max 28 mph"/>
    <n v="40.229999999999997"/>
    <s v="meters"/>
    <s v="40,23 meters"/>
    <s v="458 Brigade Road, Bengaluru, 560001"/>
    <s v="458 Brigade Road"/>
    <s v=" Bengaluru"/>
    <x v="0"/>
    <n v="560001"/>
    <s v="IN"/>
    <m/>
    <n v="4200"/>
    <m/>
    <n v="22.9404"/>
    <n v="26.702625599999998"/>
    <n v="350"/>
    <n v="0"/>
    <n v="0"/>
    <n v="9345.9189599999991"/>
  </r>
  <r>
    <n v="88"/>
    <s v="Fang"/>
    <s v="Liu"/>
    <x v="1"/>
    <x v="7"/>
    <x v="0"/>
    <n v="17.515000000000001"/>
    <s v="30 mph"/>
    <s v="Min 17,515 - Max 30 mph"/>
    <n v="30"/>
    <s v="miles"/>
    <s v="48280,02 meters"/>
    <s v="99 Nanjing Road, Shanghai, 200001"/>
    <s v="99 Nanjing Road"/>
    <s v=" Shanghai"/>
    <x v="0"/>
    <n v="200001"/>
    <s v="CN"/>
    <n v="1000"/>
    <m/>
    <m/>
    <n v="1000"/>
    <n v="1164"/>
    <n v="700"/>
    <n v="0"/>
    <n v="0"/>
    <n v="814800"/>
  </r>
  <r>
    <n v="89"/>
    <s v="Fang"/>
    <s v="Liu"/>
    <x v="1"/>
    <x v="7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800"/>
    <m/>
    <m/>
    <n v="800"/>
    <n v="931.19999999999993"/>
    <n v="1600"/>
    <n v="0"/>
    <n v="0"/>
    <n v="1489920"/>
  </r>
  <r>
    <n v="90"/>
    <s v="Fang"/>
    <s v="Liu"/>
    <x v="1"/>
    <x v="7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950"/>
    <m/>
    <m/>
    <n v="950"/>
    <n v="1105.8"/>
    <n v="1000"/>
    <n v="0"/>
    <n v="0"/>
    <n v="1105800"/>
  </r>
  <r>
    <n v="91"/>
    <s v="Jonas"/>
    <s v="Fischer"/>
    <x v="2"/>
    <x v="7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n v="1100"/>
    <m/>
    <m/>
    <n v="1100"/>
    <n v="1280.3999999999999"/>
    <n v="180"/>
    <n v="0"/>
    <n v="0"/>
    <n v="230471.99999999997"/>
  </r>
  <r>
    <n v="92"/>
    <s v="Jonas"/>
    <s v="Fischer"/>
    <x v="2"/>
    <x v="7"/>
    <x v="1"/>
    <n v="20"/>
    <s v="35 mph"/>
    <s v="Min 20 - Max 35 mph"/>
    <n v="64.37"/>
    <s v="meters"/>
    <s v="64,37 meters"/>
    <s v="304 Ringstraße, Hamburg, 20095"/>
    <s v="304 Ringstraße"/>
    <s v=" Hamburg"/>
    <x v="1"/>
    <n v="20095"/>
    <s v="DE"/>
    <n v="900"/>
    <m/>
    <m/>
    <n v="900"/>
    <n v="1047.5999999999999"/>
    <n v="300"/>
    <n v="0"/>
    <n v="0"/>
    <n v="314280"/>
  </r>
  <r>
    <n v="93"/>
    <s v="Jonas"/>
    <s v="Fischer"/>
    <x v="2"/>
    <x v="7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1050"/>
    <m/>
    <m/>
    <n v="1050"/>
    <n v="1222.1999999999998"/>
    <n v="230"/>
    <n v="0"/>
    <n v="0"/>
    <n v="281105.99999999994"/>
  </r>
  <r>
    <n v="94"/>
    <s v="Théo"/>
    <s v="Bernard"/>
    <x v="3"/>
    <x v="7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m/>
    <m/>
    <n v="30000"/>
    <n v="285.60000000000002"/>
    <n v="332.4384"/>
    <n v="150"/>
    <n v="0"/>
    <n v="0"/>
    <n v="49865.760000000002"/>
  </r>
  <r>
    <n v="95"/>
    <s v="Théo"/>
    <s v="Bernard"/>
    <x v="3"/>
    <x v="7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m/>
    <m/>
    <n v="30000"/>
    <n v="285.60000000000002"/>
    <n v="332.4384"/>
    <n v="280"/>
    <n v="0"/>
    <n v="0"/>
    <n v="93082.752000000008"/>
  </r>
  <r>
    <n v="96"/>
    <s v="Théo"/>
    <s v="Bernard"/>
    <x v="3"/>
    <x v="7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m/>
    <m/>
    <n v="25000"/>
    <n v="238.00000000000003"/>
    <n v="277.03200000000004"/>
    <n v="290"/>
    <n v="0"/>
    <n v="0"/>
    <n v="80339.280000000013"/>
  </r>
  <r>
    <n v="97"/>
    <s v="Sanya"/>
    <s v="Joshi"/>
    <x v="0"/>
    <x v="8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m/>
    <n v="22000"/>
    <n v="209.44000000000003"/>
    <n v="243.78816"/>
    <n v="180"/>
    <n v="0"/>
    <n v="0"/>
    <n v="43881.868800000004"/>
  </r>
  <r>
    <n v="98"/>
    <s v="Sanya"/>
    <s v="Joshi"/>
    <x v="0"/>
    <x v="8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m/>
    <n v="5000"/>
    <m/>
    <n v="27.31"/>
    <n v="31.788839999999997"/>
    <n v="500"/>
    <n v="0"/>
    <n v="0"/>
    <n v="15894.419999999998"/>
  </r>
  <r>
    <n v="99"/>
    <s v="Sanya"/>
    <s v="Joshi"/>
    <x v="0"/>
    <x v="8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m/>
    <n v="3500"/>
    <m/>
    <n v="19.117000000000001"/>
    <n v="22.252188"/>
    <n v="300"/>
    <n v="0"/>
    <n v="0"/>
    <n v="6675.6563999999998"/>
  </r>
  <r>
    <n v="100"/>
    <s v="Fang"/>
    <s v="Liu"/>
    <x v="1"/>
    <x v="8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m/>
    <n v="4200"/>
    <m/>
    <n v="22.9404"/>
    <n v="26.702625599999998"/>
    <n v="600"/>
    <n v="0"/>
    <n v="0"/>
    <n v="16021.575359999999"/>
  </r>
  <r>
    <n v="101"/>
    <s v="Fang"/>
    <s v="Liu"/>
    <x v="1"/>
    <x v="8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n v="1000"/>
    <m/>
    <m/>
    <n v="1000"/>
    <n v="1164"/>
    <n v="1400"/>
    <n v="0"/>
    <n v="0"/>
    <n v="1629600"/>
  </r>
  <r>
    <n v="102"/>
    <s v="Fang"/>
    <s v="Liu"/>
    <x v="1"/>
    <x v="8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800"/>
    <m/>
    <m/>
    <n v="800"/>
    <n v="931.19999999999993"/>
    <n v="850"/>
    <n v="0"/>
    <n v="0"/>
    <n v="791520"/>
  </r>
  <r>
    <n v="103"/>
    <s v="Jonas"/>
    <s v="Fischer"/>
    <x v="2"/>
    <x v="8"/>
    <x v="0"/>
    <n v="15"/>
    <s v="30 mph"/>
    <s v="Min 15 - Max 30 mph"/>
    <n v="48.28"/>
    <s v="meters"/>
    <s v="48,28 meters"/>
    <s v="303 Ringstraße, Hamburg, 20095"/>
    <s v="303 Ringstraße"/>
    <s v=" Hamburg"/>
    <x v="1"/>
    <n v="20095"/>
    <s v="DE"/>
    <n v="950"/>
    <m/>
    <m/>
    <n v="950"/>
    <n v="1105.8"/>
    <n v="160"/>
    <n v="0"/>
    <n v="0"/>
    <n v="176928"/>
  </r>
  <r>
    <n v="104"/>
    <s v="Jonas"/>
    <s v="Fischer"/>
    <x v="2"/>
    <x v="8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n v="950"/>
    <m/>
    <m/>
    <n v="950"/>
    <n v="1105.8"/>
    <n v="320"/>
    <n v="0"/>
    <n v="0"/>
    <n v="353856"/>
  </r>
  <r>
    <n v="105"/>
    <s v="Jonas"/>
    <s v="Fischer"/>
    <x v="2"/>
    <x v="8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1100"/>
    <m/>
    <m/>
    <n v="1100"/>
    <n v="1280.3999999999999"/>
    <n v="250"/>
    <n v="0"/>
    <n v="0"/>
    <n v="320099.99999999994"/>
  </r>
  <r>
    <n v="106"/>
    <s v="Théo"/>
    <s v="Bernard"/>
    <x v="3"/>
    <x v="8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900"/>
    <m/>
    <m/>
    <n v="900"/>
    <n v="1047.5999999999999"/>
    <n v="140"/>
    <n v="0"/>
    <n v="0"/>
    <n v="146664"/>
  </r>
  <r>
    <n v="107"/>
    <s v="Théo"/>
    <s v="Bernard"/>
    <x v="3"/>
    <x v="8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n v="1050"/>
    <m/>
    <m/>
    <n v="1050"/>
    <n v="1222.1999999999998"/>
    <n v="310"/>
    <n v="0"/>
    <n v="0"/>
    <n v="378881.99999999994"/>
  </r>
  <r>
    <n v="108"/>
    <s v="Théo"/>
    <s v="Bernard"/>
    <x v="3"/>
    <x v="8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m/>
    <m/>
    <n v="30000"/>
    <n v="285.60000000000002"/>
    <n v="332.4384"/>
    <n v="280"/>
    <n v="0"/>
    <n v="0"/>
    <n v="93082.752000000008"/>
  </r>
  <r>
    <n v="109"/>
    <s v="Sanya"/>
    <s v="Joshi"/>
    <x v="0"/>
    <x v="9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m/>
    <n v="25000"/>
    <n v="238.00000000000003"/>
    <n v="277.03200000000004"/>
    <n v="150"/>
    <n v="0"/>
    <n v="0"/>
    <n v="41554.800000000003"/>
  </r>
  <r>
    <n v="110"/>
    <s v="Sanya"/>
    <s v="Joshi"/>
    <x v="0"/>
    <x v="9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m/>
    <m/>
    <n v="22000"/>
    <n v="209.44000000000003"/>
    <n v="243.78816"/>
    <n v="400"/>
    <n v="0"/>
    <n v="0"/>
    <n v="97515.263999999996"/>
  </r>
  <r>
    <n v="111"/>
    <s v="Sanya"/>
    <s v="Joshi"/>
    <x v="0"/>
    <x v="9"/>
    <x v="2"/>
    <n v="18"/>
    <s v="28 mph"/>
    <s v="Min 18 - Max 28 mph"/>
    <n v="40.229999999999997"/>
    <s v="meters"/>
    <s v="40,23 meters"/>
    <s v="458 Brigade Road, Bengaluru, 560001"/>
    <s v="458 Brigade Road"/>
    <s v=" Bengaluru"/>
    <x v="0"/>
    <n v="560001"/>
    <s v="IN"/>
    <m/>
    <n v="5000"/>
    <m/>
    <n v="27.31"/>
    <n v="31.788839999999997"/>
    <n v="280"/>
    <n v="0"/>
    <n v="0"/>
    <n v="8900.8751999999986"/>
  </r>
  <r>
    <n v="112"/>
    <s v="Fang"/>
    <s v="Liu"/>
    <x v="1"/>
    <x v="9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m/>
    <n v="3500"/>
    <m/>
    <n v="19.117000000000001"/>
    <n v="22.252188"/>
    <n v="550"/>
    <n v="0"/>
    <n v="0"/>
    <n v="12238.7034"/>
  </r>
  <r>
    <n v="113"/>
    <s v="Fang"/>
    <s v="Liu"/>
    <x v="1"/>
    <x v="9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m/>
    <n v="4200"/>
    <m/>
    <n v="22.9404"/>
    <n v="26.702625599999998"/>
    <n v="1300"/>
    <n v="0"/>
    <n v="0"/>
    <n v="34713.413279999993"/>
  </r>
  <r>
    <n v="114"/>
    <s v="Fang"/>
    <s v="Liu"/>
    <x v="1"/>
    <x v="9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n v="1000"/>
    <m/>
    <m/>
    <n v="1000"/>
    <n v="1164"/>
    <n v="750"/>
    <n v="0"/>
    <n v="0"/>
    <n v="873000"/>
  </r>
  <r>
    <n v="115"/>
    <s v="Jonas"/>
    <s v="Fischer"/>
    <x v="2"/>
    <x v="9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n v="800"/>
    <m/>
    <m/>
    <n v="800"/>
    <n v="931.19999999999993"/>
    <n v="140"/>
    <n v="0"/>
    <n v="0"/>
    <n v="130367.99999999999"/>
  </r>
  <r>
    <n v="116"/>
    <s v="Jonas"/>
    <s v="Fischer"/>
    <x v="2"/>
    <x v="9"/>
    <x v="1"/>
    <n v="17.515000000000001"/>
    <s v="35 mph"/>
    <s v="Min 17,515 - Max 35 mph"/>
    <n v="40"/>
    <s v="miles"/>
    <s v="64373,36 meters"/>
    <s v="304 Ringstraße, Hamburg, 20095"/>
    <s v="304 Ringstraße"/>
    <s v=" Hamburg"/>
    <x v="1"/>
    <n v="20095"/>
    <s v="DE"/>
    <n v="950"/>
    <m/>
    <m/>
    <n v="950"/>
    <n v="1105.8"/>
    <n v="300"/>
    <n v="0"/>
    <n v="0"/>
    <n v="331740"/>
  </r>
  <r>
    <n v="117"/>
    <s v="Jonas"/>
    <s v="Fischer"/>
    <x v="2"/>
    <x v="9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950"/>
    <m/>
    <m/>
    <n v="950"/>
    <n v="1105.8"/>
    <n v="220"/>
    <n v="0"/>
    <n v="0"/>
    <n v="243276"/>
  </r>
  <r>
    <n v="118"/>
    <s v="Théo"/>
    <s v="Bernard"/>
    <x v="3"/>
    <x v="9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1100"/>
    <m/>
    <m/>
    <n v="1100"/>
    <n v="1280.3999999999999"/>
    <n v="130"/>
    <n v="0"/>
    <n v="0"/>
    <n v="166451.99999999997"/>
  </r>
  <r>
    <n v="119"/>
    <s v="Théo"/>
    <s v="Bernard"/>
    <x v="3"/>
    <x v="9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n v="900"/>
    <m/>
    <m/>
    <n v="900"/>
    <n v="1047.5999999999999"/>
    <n v="290"/>
    <n v="0"/>
    <n v="0"/>
    <n v="303804"/>
  </r>
  <r>
    <n v="120"/>
    <s v="Théo"/>
    <s v="Bernard"/>
    <x v="3"/>
    <x v="9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n v="1050"/>
    <m/>
    <m/>
    <n v="1050"/>
    <n v="1222.1999999999998"/>
    <n v="270"/>
    <n v="0"/>
    <n v="0"/>
    <n v="329993.99999999994"/>
  </r>
  <r>
    <n v="121"/>
    <s v="Sanya"/>
    <s v="Joshi"/>
    <x v="0"/>
    <x v="10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m/>
    <m/>
    <n v="30000"/>
    <n v="285.60000000000002"/>
    <n v="332.4384"/>
    <n v="180"/>
    <n v="15"/>
    <n v="0.15"/>
    <n v="50863.075199999999"/>
  </r>
  <r>
    <n v="122"/>
    <s v="Sanya"/>
    <s v="Joshi"/>
    <x v="0"/>
    <x v="10"/>
    <x v="1"/>
    <n v="20"/>
    <s v="35 mph"/>
    <s v="Min 20 - Max 35 mph"/>
    <n v="64.37"/>
    <s v="meters"/>
    <s v="64,37 meters"/>
    <s v="457 Brigade Road, Bengaluru, 560001"/>
    <s v="457 Brigade Road"/>
    <s v=" Bengaluru"/>
    <x v="0"/>
    <n v="560001"/>
    <s v="IN"/>
    <m/>
    <m/>
    <n v="25000"/>
    <n v="238.00000000000003"/>
    <n v="277.03200000000004"/>
    <n v="450"/>
    <n v="15"/>
    <n v="0.15"/>
    <n v="105964.74000000002"/>
  </r>
  <r>
    <n v="123"/>
    <s v="Sanya"/>
    <s v="Joshi"/>
    <x v="0"/>
    <x v="10"/>
    <x v="2"/>
    <n v="18"/>
    <s v="28 mph"/>
    <s v="Min 18 - Max 28 mph"/>
    <n v="25"/>
    <s v="miles"/>
    <s v="40233,35 meters"/>
    <s v="458 Brigade Road, Bengaluru, 560001"/>
    <s v="458 Brigade Road"/>
    <s v=" Bengaluru"/>
    <x v="0"/>
    <n v="560001"/>
    <s v="IN"/>
    <m/>
    <m/>
    <n v="22000"/>
    <n v="209.44000000000003"/>
    <n v="243.78816"/>
    <n v="300"/>
    <n v="15"/>
    <n v="0.15"/>
    <n v="62165.980800000005"/>
  </r>
  <r>
    <n v="124"/>
    <s v="Fang"/>
    <s v="Liu"/>
    <x v="1"/>
    <x v="10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m/>
    <n v="5000"/>
    <m/>
    <n v="27.31"/>
    <n v="31.788839999999997"/>
    <n v="600"/>
    <n v="15"/>
    <n v="0.15"/>
    <n v="16212.308399999996"/>
  </r>
  <r>
    <n v="125"/>
    <s v="Fang"/>
    <s v="Liu"/>
    <x v="1"/>
    <x v="10"/>
    <x v="1"/>
    <n v="20"/>
    <s v="35 mph"/>
    <s v="Min 20 - Max 35 mph"/>
    <n v="40"/>
    <s v="miles"/>
    <s v="64373,36 meters"/>
    <s v="100 Nanjing Road, Shanghai, 200001"/>
    <s v="100 Nanjing Road"/>
    <s v=" Shanghai"/>
    <x v="0"/>
    <n v="200001"/>
    <s v="CN"/>
    <m/>
    <n v="3500"/>
    <m/>
    <n v="19.117000000000001"/>
    <n v="22.252188"/>
    <n v="1500"/>
    <n v="15"/>
    <n v="0.15"/>
    <n v="28371.539699999998"/>
  </r>
  <r>
    <n v="126"/>
    <s v="Fang"/>
    <s v="Liu"/>
    <x v="1"/>
    <x v="10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m/>
    <n v="4200"/>
    <m/>
    <n v="22.9404"/>
    <n v="26.702625599999998"/>
    <n v="800"/>
    <n v="15"/>
    <n v="0.15"/>
    <n v="18157.785407999996"/>
  </r>
  <r>
    <n v="127"/>
    <s v="Jonas"/>
    <s v="Fischer"/>
    <x v="2"/>
    <x v="10"/>
    <x v="0"/>
    <n v="15"/>
    <s v="30 mph"/>
    <s v="Min 15 - Max 30 mph"/>
    <n v="30"/>
    <s v="miles"/>
    <s v="48280,02 meters"/>
    <s v="303 Ringstraße, Hamburg, 20095"/>
    <s v="303 Ringstraße"/>
    <s v=" Hamburg"/>
    <x v="1"/>
    <n v="20095"/>
    <s v="DE"/>
    <n v="1000"/>
    <m/>
    <m/>
    <n v="1000"/>
    <n v="1164"/>
    <n v="160"/>
    <n v="15"/>
    <n v="0.15"/>
    <n v="158304"/>
  </r>
  <r>
    <n v="128"/>
    <s v="Jonas"/>
    <s v="Fischer"/>
    <x v="2"/>
    <x v="10"/>
    <x v="1"/>
    <n v="20"/>
    <s v="35 mph"/>
    <s v="Min 20 - Max 35 mph"/>
    <n v="40"/>
    <s v="miles"/>
    <s v="64373,36 meters"/>
    <s v="304 Ringstraße, Hamburg, 20095"/>
    <s v="304 Ringstraße"/>
    <s v=" Hamburg"/>
    <x v="1"/>
    <n v="20095"/>
    <s v="DE"/>
    <n v="800"/>
    <m/>
    <m/>
    <n v="800"/>
    <n v="931.19999999999993"/>
    <n v="320"/>
    <n v="15"/>
    <n v="0.15"/>
    <n v="253286.39999999999"/>
  </r>
  <r>
    <n v="129"/>
    <s v="Jonas"/>
    <s v="Fischer"/>
    <x v="2"/>
    <x v="10"/>
    <x v="2"/>
    <n v="18"/>
    <s v="28 mph"/>
    <s v="Min 18 - Max 28 mph"/>
    <n v="25"/>
    <s v="miles"/>
    <s v="40233,35 meters"/>
    <s v="305 Ringstraße, Hamburg, 20095"/>
    <s v="305 Ringstraße"/>
    <s v=" Hamburg"/>
    <x v="1"/>
    <n v="20095"/>
    <s v="DE"/>
    <n v="950"/>
    <m/>
    <m/>
    <n v="950"/>
    <n v="1105.8"/>
    <n v="250"/>
    <n v="15"/>
    <n v="0.15"/>
    <n v="234982.5"/>
  </r>
  <r>
    <n v="130"/>
    <s v="Théo"/>
    <s v="Bernard"/>
    <x v="3"/>
    <x v="10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1100"/>
    <m/>
    <m/>
    <n v="1100"/>
    <n v="1280.3999999999999"/>
    <n v="140"/>
    <n v="15"/>
    <n v="0.15"/>
    <n v="152367.59999999998"/>
  </r>
  <r>
    <n v="131"/>
    <s v="Théo"/>
    <s v="Bernard"/>
    <x v="3"/>
    <x v="10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n v="900"/>
    <m/>
    <m/>
    <n v="900"/>
    <n v="1047.5999999999999"/>
    <n v="310"/>
    <n v="15"/>
    <n v="0.15"/>
    <n v="276042.59999999998"/>
  </r>
  <r>
    <n v="132"/>
    <s v="Théo"/>
    <s v="Bernard"/>
    <x v="3"/>
    <x v="10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n v="900"/>
    <m/>
    <m/>
    <n v="900"/>
    <n v="1047.5999999999999"/>
    <n v="290"/>
    <n v="15"/>
    <n v="0.15"/>
    <n v="258233.4"/>
  </r>
  <r>
    <n v="133"/>
    <s v="Sanya"/>
    <s v="Joshi"/>
    <x v="0"/>
    <x v="11"/>
    <x v="0"/>
    <n v="15"/>
    <s v="30 mph"/>
    <s v="Min 15 - Max 30 mph"/>
    <n v="30"/>
    <s v="miles"/>
    <s v="48280,02 meters"/>
    <s v="456 Brigade Road, Bengaluru, 560001"/>
    <s v="456 Brigade Road"/>
    <s v=" Bengaluru"/>
    <x v="0"/>
    <n v="560001"/>
    <s v="IN"/>
    <n v="1050"/>
    <m/>
    <m/>
    <n v="1050"/>
    <n v="1222.1999999999998"/>
    <n v="250"/>
    <n v="20"/>
    <n v="0.2"/>
    <n v="244439.99999999997"/>
  </r>
  <r>
    <n v="134"/>
    <s v="Sanya"/>
    <s v="Joshi"/>
    <x v="0"/>
    <x v="11"/>
    <x v="1"/>
    <n v="20"/>
    <s v="35 mph"/>
    <s v="Min 20 - Max 35 mph"/>
    <n v="40"/>
    <s v="miles"/>
    <s v="64373,36 meters"/>
    <s v="457 Brigade Road, Bengaluru, 560001"/>
    <s v="457 Brigade Road"/>
    <s v=" Bengaluru"/>
    <x v="0"/>
    <n v="560001"/>
    <s v="IN"/>
    <m/>
    <m/>
    <n v="30000"/>
    <n v="285.60000000000002"/>
    <n v="332.4384"/>
    <n v="600"/>
    <n v="20"/>
    <n v="0.2"/>
    <n v="159570.43200000003"/>
  </r>
  <r>
    <n v="135"/>
    <s v="Sanya"/>
    <s v="Joshi"/>
    <x v="0"/>
    <x v="11"/>
    <x v="2"/>
    <n v="18"/>
    <s v="28 mph"/>
    <s v="Min 18 - Max 28 mph"/>
    <n v="40.229999999999997"/>
    <s v="meters"/>
    <s v="40,23 meters"/>
    <s v="458 Brigade Road, Bengaluru, 560001"/>
    <s v="458 Brigade Road"/>
    <s v=" Bengaluru"/>
    <x v="0"/>
    <n v="560001"/>
    <s v="IN"/>
    <m/>
    <m/>
    <n v="25000"/>
    <n v="238.00000000000003"/>
    <n v="277.03200000000004"/>
    <n v="400"/>
    <n v="20"/>
    <n v="0.2"/>
    <n v="88650.24000000002"/>
  </r>
  <r>
    <n v="136"/>
    <s v="Fang"/>
    <s v="Liu"/>
    <x v="1"/>
    <x v="11"/>
    <x v="0"/>
    <n v="15"/>
    <s v="30 mph"/>
    <s v="Min 15 - Max 30 mph"/>
    <n v="30"/>
    <s v="miles"/>
    <s v="48280,02 meters"/>
    <s v="99 Nanjing Road, Shanghai, 200001"/>
    <s v="99 Nanjing Road"/>
    <s v=" Shanghai"/>
    <x v="0"/>
    <n v="200001"/>
    <s v="CN"/>
    <m/>
    <m/>
    <n v="22000"/>
    <n v="209.44000000000003"/>
    <n v="243.78816"/>
    <n v="800"/>
    <n v="20"/>
    <n v="0.2"/>
    <n v="156024.42240000001"/>
  </r>
  <r>
    <n v="137"/>
    <s v="Fang"/>
    <s v="Liu"/>
    <x v="1"/>
    <x v="11"/>
    <x v="1"/>
    <n v="17.515000000000001"/>
    <s v="35 mph"/>
    <s v="Min 17,515 - Max 35 mph"/>
    <n v="64.37"/>
    <s v="meters"/>
    <s v="64,37 meters"/>
    <s v="100 Nanjing Road, Shanghai, 200001"/>
    <s v="100 Nanjing Road"/>
    <s v=" Shanghai"/>
    <x v="0"/>
    <n v="200001"/>
    <s v="CN"/>
    <m/>
    <n v="5000"/>
    <m/>
    <n v="27.31"/>
    <n v="31.788839999999997"/>
    <n v="2000"/>
    <n v="20"/>
    <n v="0.2"/>
    <n v="50862.144"/>
  </r>
  <r>
    <n v="138"/>
    <s v="Fang"/>
    <s v="Liu"/>
    <x v="1"/>
    <x v="11"/>
    <x v="2"/>
    <n v="18"/>
    <s v="28 mph"/>
    <s v="Min 18 - Max 28 mph"/>
    <n v="25"/>
    <s v="miles"/>
    <s v="40233,35 meters"/>
    <s v="101 Nanjing Road, Shanghai, 200001"/>
    <s v="101 Nanjing Road"/>
    <s v=" Shanghai"/>
    <x v="0"/>
    <n v="200001"/>
    <s v="CN"/>
    <m/>
    <n v="3500"/>
    <m/>
    <n v="19.117000000000001"/>
    <n v="22.252188"/>
    <n v="1200"/>
    <n v="20"/>
    <n v="0.2"/>
    <n v="21362.100480000001"/>
  </r>
  <r>
    <n v="139"/>
    <s v="Jonas"/>
    <s v="Fischer"/>
    <x v="2"/>
    <x v="11"/>
    <x v="0"/>
    <n v="15"/>
    <s v="30 mph"/>
    <s v="Min 15 - Max 30 mph"/>
    <n v="48.28"/>
    <s v="meters"/>
    <s v="48,28 meters"/>
    <s v="303 Ringstraße, Hamburg, 20095"/>
    <s v="303 Ringstraße"/>
    <s v=" Hamburg"/>
    <x v="1"/>
    <n v="20095"/>
    <s v="DE"/>
    <m/>
    <n v="4200"/>
    <m/>
    <n v="22.9404"/>
    <n v="26.702625599999998"/>
    <n v="200"/>
    <n v="20"/>
    <n v="0.2"/>
    <n v="4272.4200959999998"/>
  </r>
  <r>
    <n v="140"/>
    <s v="Jonas"/>
    <s v="Fischer"/>
    <x v="2"/>
    <x v="11"/>
    <x v="1"/>
    <n v="20"/>
    <s v="35 mph"/>
    <s v="Min 20 - Max 35 mph"/>
    <n v="64.37"/>
    <s v="meters"/>
    <s v="64,37 meters"/>
    <s v="304 Ringstraße, Hamburg, 20095"/>
    <s v="304 Ringstraße"/>
    <s v=" Hamburg"/>
    <x v="1"/>
    <n v="20095"/>
    <s v="DE"/>
    <n v="1000"/>
    <m/>
    <m/>
    <n v="1000"/>
    <n v="1164"/>
    <n v="400"/>
    <n v="20"/>
    <n v="0.2"/>
    <n v="372480"/>
  </r>
  <r>
    <n v="141"/>
    <s v="Jonas"/>
    <s v="Fischer"/>
    <x v="2"/>
    <x v="11"/>
    <x v="2"/>
    <n v="17.515000000000001"/>
    <s v="28 mph"/>
    <s v="Min 17,515 - Max 28 mph"/>
    <n v="25"/>
    <s v="miles"/>
    <s v="40233,35 meters"/>
    <s v="305 Ringstraße, Hamburg, 20095"/>
    <s v="305 Ringstraße"/>
    <s v=" Hamburg"/>
    <x v="1"/>
    <n v="20095"/>
    <s v="DE"/>
    <n v="800"/>
    <m/>
    <m/>
    <n v="800"/>
    <n v="931.19999999999993"/>
    <n v="350"/>
    <n v="20"/>
    <n v="0.2"/>
    <n v="260736"/>
  </r>
  <r>
    <n v="142"/>
    <s v="Théo"/>
    <s v="Bernard"/>
    <x v="3"/>
    <x v="11"/>
    <x v="0"/>
    <n v="15"/>
    <s v="30 mph"/>
    <s v="Min 15 - Max 30 mph"/>
    <n v="30"/>
    <s v="miles"/>
    <s v="48280,02 meters"/>
    <s v="56 Boulevard Saint-Germain, Paris, 75005"/>
    <s v="56 Boulevard Saint-Germain"/>
    <s v=" Paris"/>
    <x v="1"/>
    <n v="75005"/>
    <s v="FR"/>
    <n v="950"/>
    <m/>
    <m/>
    <n v="950"/>
    <n v="1105.8"/>
    <n v="180"/>
    <n v="20"/>
    <n v="0.2"/>
    <n v="159235.20000000001"/>
  </r>
  <r>
    <n v="143"/>
    <s v="Théo"/>
    <s v="Bernard"/>
    <x v="3"/>
    <x v="11"/>
    <x v="1"/>
    <n v="20"/>
    <s v="35 mph"/>
    <s v="Min 20 - Max 35 mph"/>
    <n v="40"/>
    <s v="miles"/>
    <s v="64373,36 meters"/>
    <s v="57 Boulevard Saint-Germain, Paris, 75005"/>
    <s v="57 Boulevard Saint-Germain"/>
    <s v=" Paris"/>
    <x v="1"/>
    <n v="75005"/>
    <s v="FR"/>
    <n v="1100"/>
    <m/>
    <m/>
    <n v="1100"/>
    <n v="1280.3999999999999"/>
    <n v="400"/>
    <n v="20"/>
    <n v="0.2"/>
    <n v="409728"/>
  </r>
  <r>
    <n v="144"/>
    <s v="Théo"/>
    <s v="Bernard"/>
    <x v="3"/>
    <x v="11"/>
    <x v="2"/>
    <n v="18"/>
    <s v="28 mph"/>
    <s v="Min 18 - Max 28 mph"/>
    <n v="25"/>
    <s v="miles"/>
    <s v="40233,35 meters"/>
    <s v="58 Boulevard Saint-Germain, Paris, 75005"/>
    <s v="58 Boulevard Saint-Germain"/>
    <s v=" Paris"/>
    <x v="1"/>
    <n v="75005"/>
    <s v="FR"/>
    <n v="900"/>
    <m/>
    <m/>
    <n v="900"/>
    <n v="1047.5999999999999"/>
    <n v="360"/>
    <n v="20"/>
    <n v="0.2"/>
    <n v="301708.79999999999"/>
  </r>
  <r>
    <m/>
    <m/>
    <m/>
    <x v="4"/>
    <x v="12"/>
    <x v="3"/>
    <m/>
    <m/>
    <m/>
    <m/>
    <m/>
    <m/>
    <m/>
    <m/>
    <m/>
    <x v="2"/>
    <m/>
    <m/>
    <n v="105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105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n v="30000"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n v="25000"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n v="25000"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n v="22000"/>
    <m/>
    <m/>
    <m/>
    <m/>
    <m/>
    <m/>
  </r>
  <r>
    <m/>
    <m/>
    <m/>
    <x v="4"/>
    <x v="12"/>
    <x v="3"/>
    <m/>
    <m/>
    <m/>
    <m/>
    <m/>
    <m/>
    <m/>
    <m/>
    <m/>
    <x v="2"/>
    <m/>
    <m/>
    <m/>
    <n v="5000"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n v="3500"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n v="4200"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n v="4200"/>
    <m/>
    <m/>
    <m/>
    <m/>
    <m/>
    <m/>
    <m/>
  </r>
  <r>
    <m/>
    <m/>
    <m/>
    <x v="4"/>
    <x v="12"/>
    <x v="3"/>
    <m/>
    <m/>
    <m/>
    <m/>
    <m/>
    <m/>
    <m/>
    <m/>
    <m/>
    <x v="2"/>
    <m/>
    <m/>
    <n v="100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80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95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110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110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90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n v="1050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m/>
    <s v=""/>
    <m/>
    <m/>
    <m/>
    <m/>
    <m/>
  </r>
  <r>
    <m/>
    <m/>
    <m/>
    <x v="4"/>
    <x v="12"/>
    <x v="3"/>
    <m/>
    <m/>
    <m/>
    <m/>
    <m/>
    <m/>
    <m/>
    <m/>
    <m/>
    <x v="2"/>
    <m/>
    <m/>
    <s v="Problema: Hay distintos formatos"/>
    <m/>
    <m/>
    <m/>
    <m/>
    <m/>
    <m/>
    <m/>
    <m/>
  </r>
  <r>
    <m/>
    <m/>
    <m/>
    <x v="4"/>
    <x v="12"/>
    <x v="3"/>
    <m/>
    <m/>
    <m/>
    <m/>
    <m/>
    <m/>
    <m/>
    <m/>
    <m/>
    <x v="2"/>
    <m/>
    <m/>
    <m/>
    <m/>
    <m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82383-E7BF-4891-B839-17D8CF789367}" name="TablaDinámica4" cacheId="15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M22:N27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 totales" fld="26" baseField="0" baseItem="0" numFmtId="166"/>
  </dataFields>
  <formats count="1">
    <format dxfId="8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86CA5-6083-44B5-8D37-E06EB5CEDE61}" name="TablaDinámica2" cacheId="15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I23:J29" firstHeaderRow="1" firstDataRow="1" firstDataCol="1"/>
  <pivotFields count="27"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s totales" fld="26" baseField="0" baseItem="0" numFmtId="166"/>
  </dataFields>
  <formats count="1">
    <format dxfId="8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4060C-1DAB-4403-AEAC-8802443168DD}" name="TablaDinámica1" cacheId="15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B16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entas totales" fld="26" baseField="0" baseItem="0" numFmtId="166"/>
  </dataFields>
  <formats count="1">
    <format dxfId="79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9132C-C8AD-4CBE-95F4-5FAFAE432190}" name="Table3" displayName="Table3" ref="A1:M162" totalsRowShown="0" headerRowDxfId="77" dataDxfId="76" headerRowBorderDxfId="74" tableBorderDxfId="75" totalsRowBorderDxfId="73">
  <autoFilter ref="A1:M162" xr:uid="{4319132C-C8AD-4CBE-95F4-5FAFAE432190}"/>
  <tableColumns count="13">
    <tableColumn id="1" xr3:uid="{9DC57B01-823B-4AB9-ADD7-45D3E4F3FB51}" name="Sales Rep ID" dataDxfId="72"/>
    <tableColumn id="2" xr3:uid="{BAED6763-ACE5-4E18-94A9-15998CFE8953}" name="Rep First Name" dataDxfId="71"/>
    <tableColumn id="3" xr3:uid="{9336D3B4-62A9-4A90-87AF-96511F7FD75B}" name="Rep Last Name" dataDxfId="70"/>
    <tableColumn id="4" xr3:uid="{6DD6B08C-7DEF-4DC4-A5B9-E407BA3EFA3D}" name="Month" dataDxfId="69"/>
    <tableColumn id="5" xr3:uid="{144E8BFF-431A-49CE-9792-002F4BF6F1F8}" name="Product Type" dataDxfId="68"/>
    <tableColumn id="6" xr3:uid="{2090DFBE-D498-4DED-BF10-220896719E24}" name="Min Speed" dataDxfId="67"/>
    <tableColumn id="7" xr3:uid="{0E20C3B8-3AAD-450C-AE11-12821B4DA8BA}" name="Speed" dataDxfId="66"/>
    <tableColumn id="8" xr3:uid="{9187CAE4-31FB-4DF1-A2BE-18533CAC7224}" name="Distance" dataDxfId="65"/>
    <tableColumn id="9" xr3:uid="{AD71B897-3C10-4D73-A473-15A3A1F66B70}" name="Shipping Address" dataDxfId="64"/>
    <tableColumn id="10" xr3:uid="{78BAF127-A68C-43F5-AF55-B93A54E1D93A}" name="Country Code" dataDxfId="63"/>
    <tableColumn id="11" xr3:uid="{AAB8CFDD-59D0-4B6C-BB39-D2F084E45F62}" name="Unit Price" dataDxfId="62"/>
    <tableColumn id="12" xr3:uid="{BAFFA887-9FE8-4A9D-AAD1-CA4B36D44658}" name="Units Sold" dataDxfId="61"/>
    <tableColumn id="13" xr3:uid="{AFDC9BD5-86DC-41D7-850C-D3B0BAA9C97E}" name="Discount (%)" dataDxfId="6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E863F4-C6E1-45DD-A941-3A8E0EA882BA}" name="Tabla5" displayName="Tabla5" ref="A3:AA147" totalsRowShown="0">
  <autoFilter ref="A3:AA147" xr:uid="{CDE863F4-C6E1-45DD-A941-3A8E0EA882BA}"/>
  <tableColumns count="27">
    <tableColumn id="1" xr3:uid="{13CA90A7-DA4D-4DDA-8319-16BAF5EB9F1F}" name="Sales Rep ID"/>
    <tableColumn id="2" xr3:uid="{8B4CA097-E7A5-43BF-9787-A43C466918A6}" name="Rep First Name"/>
    <tableColumn id="3" xr3:uid="{D0AC952E-7CAF-432C-A206-0730EF8556ED}" name="Rep Last Name"/>
    <tableColumn id="4" xr3:uid="{373C01B8-F66B-4DF1-8168-27DEF060C421}" name="Complete name"/>
    <tableColumn id="5" xr3:uid="{25CD0447-37FD-40E5-B2CD-7FB8BF67D5A0}" name="Month"/>
    <tableColumn id="6" xr3:uid="{F76ECA21-7898-4A64-B6CC-55D1825760FA}" name="Product Type"/>
    <tableColumn id="7" xr3:uid="{9E441F02-22D4-4187-8FAD-3DE5D026AE78}" name="Min Speed"/>
    <tableColumn id="8" xr3:uid="{E0CF7CC2-EE3E-4626-950B-E5959D2593CC}" name="Speed"/>
    <tableColumn id="9" xr3:uid="{E9FCC43E-FDE7-4E3B-B65F-9782A5A1309B}" name="Max-min speed"/>
    <tableColumn id="10" xr3:uid="{78BCB92E-452A-45B0-A0CC-6859C5413176}" name="Distance"/>
    <tableColumn id="11" xr3:uid="{8E547A9A-6D3E-43E4-97E5-2F3EF1779910}" name="Columna2"/>
    <tableColumn id="12" xr3:uid="{8E5806EC-A553-4D3F-B152-672AB41CBC73}" name="Distance2"/>
    <tableColumn id="13" xr3:uid="{5D816385-F810-476E-B1E6-5BAC258DCE60}" name="Shipping Address"/>
    <tableColumn id="14" xr3:uid="{EEC2C740-D181-47CA-8339-2C19F188FD26}" name="Street"/>
    <tableColumn id="15" xr3:uid="{1B8B03F8-6DDC-43DF-A703-D7C1B2252DBD}" name="City"/>
    <tableColumn id="16" xr3:uid="{11111009-09BB-4F17-A9E5-399044C87EB2}" name="Continent"/>
    <tableColumn id="17" xr3:uid="{EBDF6F23-9CB7-4779-A38D-C783A14B197A}" name="Postal code"/>
    <tableColumn id="18" xr3:uid="{B0A559A3-9A7B-4271-A495-B512F1D42717}" name="Country Code"/>
    <tableColumn id="19" xr3:uid="{809B3B6B-5E1A-4F4A-91BA-3BB034C0DB8F}" name="Unit Price €"/>
    <tableColumn id="20" xr3:uid="{517A9DF4-BA19-46BC-A10A-FA8747386DB4}" name="Unit Price ¥"/>
    <tableColumn id="21" xr3:uid="{979AFEA6-5FFB-4521-99F5-91A68ED9B9BF}" name="Unit Price ₹"/>
    <tableColumn id="22" xr3:uid="{83A07F6C-25C4-4177-BAA4-404CD98F7913}" name="Precio unitario €"/>
    <tableColumn id="23" xr3:uid="{B4E9DD41-3BAB-40A1-8E6A-9ACB16E6C7B8}" name="Precio unitario USD$"/>
    <tableColumn id="24" xr3:uid="{CDBC1130-1C81-4C1A-AD14-B081CD399924}" name="Units Sold"/>
    <tableColumn id="25" xr3:uid="{5A0EF755-5CD3-41AD-AF70-1ED5F7D4247F}" name="Discount (%)"/>
    <tableColumn id="26" xr3:uid="{E2C11F12-5CBC-43DC-9137-4225751600AD}" name="Columna1"/>
    <tableColumn id="27" xr3:uid="{6559FA8F-7CBB-4416-AAC5-34F668110BC2}" name="Ventas total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46FDAD-942E-4097-A63B-FA9D81E09DF4}" name="Tabla6" displayName="Tabla6" ref="A3:AA167" totalsRowShown="0">
  <autoFilter ref="A3:AA167" xr:uid="{C546FDAD-942E-4097-A63B-FA9D81E09DF4}"/>
  <tableColumns count="27">
    <tableColumn id="1" xr3:uid="{41A5CDEF-15AD-4A7A-8B07-B7E9DBF70B10}" name="Sales Rep ID"/>
    <tableColumn id="2" xr3:uid="{7875295E-1C74-4EAB-9157-92599D806594}" name="Rep First Name"/>
    <tableColumn id="3" xr3:uid="{80BB0A65-6C87-4299-BC62-C0D1AFCE5FE5}" name="Rep Last Name"/>
    <tableColumn id="4" xr3:uid="{9824901F-469D-4FBE-AD51-1DA98E1F970D}" name="Complete name"/>
    <tableColumn id="5" xr3:uid="{E0777AC9-0FF9-41C8-A955-EDAD01EEF72E}" name="Month"/>
    <tableColumn id="6" xr3:uid="{30FDAF4D-7A1A-4D39-AF24-78FBAE16B7C4}" name="Product Type"/>
    <tableColumn id="7" xr3:uid="{6DE9B944-A57A-4801-A302-D78618380A93}" name="Min Speed"/>
    <tableColumn id="8" xr3:uid="{5F1B931A-216B-42F3-933D-01A34B9441E1}" name="Speed"/>
    <tableColumn id="9" xr3:uid="{B33D8EBC-8E19-4510-922A-3A08DC5DE543}" name="Max-min speed"/>
    <tableColumn id="10" xr3:uid="{872B536B-FBEE-4D1A-B947-A486DEA0BCD9}" name="Distance"/>
    <tableColumn id="11" xr3:uid="{18B93CE5-D0C7-4D82-8092-77620A16ED82}" name="Columna2"/>
    <tableColumn id="12" xr3:uid="{14AA6BAA-78BB-44C4-B695-9DC40F3E9012}" name="Distance2"/>
    <tableColumn id="13" xr3:uid="{97FD50C8-D04D-4F55-9E85-F55A5E80CE22}" name="Shipping Address"/>
    <tableColumn id="14" xr3:uid="{8CF105A5-EEEE-4B90-814E-A8960F65CE30}" name="Street"/>
    <tableColumn id="15" xr3:uid="{B031A798-032F-4C7E-ABAF-4EEAA6C75A33}" name="City"/>
    <tableColumn id="16" xr3:uid="{A1AC9B82-114D-4ED3-A539-DA326BBFC9C6}" name="Continent"/>
    <tableColumn id="17" xr3:uid="{D672604F-8C30-4BCE-8350-2726D6611B7D}" name="Postal code"/>
    <tableColumn id="18" xr3:uid="{D2421785-0B89-4308-8BAA-B49E76E503A8}" name="Country Code"/>
    <tableColumn id="19" xr3:uid="{9F68F40F-F092-45DC-8125-004338A1BEF3}" name="Unit Price €"/>
    <tableColumn id="20" xr3:uid="{F0A01A40-6DD7-4CAE-8725-F01F3490A4F2}" name="Unit Price ¥"/>
    <tableColumn id="21" xr3:uid="{1F5E6318-8DEE-461D-8F25-5154F609645A}" name="Unit Price ₹"/>
    <tableColumn id="22" xr3:uid="{427C2523-834E-43C4-8AC5-6930752536BB}" name="Precio unitario €"/>
    <tableColumn id="23" xr3:uid="{370D533F-5ECD-438F-B7F9-A5F638E18BB3}" name="Precio unitario USD$"/>
    <tableColumn id="24" xr3:uid="{2AE52627-72F9-42ED-927F-5C341BE829C0}" name="Units Sold"/>
    <tableColumn id="25" xr3:uid="{D20E363C-4E4B-4569-833F-F8ACABE0DF8B}" name="Discount (%)"/>
    <tableColumn id="26" xr3:uid="{E5D2120E-035E-449A-BEFC-8C2334CEBFEC}" name="Columna1"/>
    <tableColumn id="27" xr3:uid="{BD76B6BE-FC75-42A8-8FB4-8CB135DB057C}" name="Ventas total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B8B57-D4FF-4653-9798-C661CE02AEE2}" name="Table32" displayName="Table32" ref="A1:AA145" totalsRowShown="0" headerRowDxfId="58" dataDxfId="57" headerRowBorderDxfId="55" tableBorderDxfId="56" totalsRowBorderDxfId="54">
  <autoFilter ref="A1:AA145" xr:uid="{4319132C-C8AD-4CBE-95F4-5FAFAE432190}"/>
  <tableColumns count="27">
    <tableColumn id="1" xr3:uid="{7DEBCCB6-D644-4434-97D6-131F8A4E5708}" name="Sales Rep ID" dataDxfId="52" totalsRowDxfId="53"/>
    <tableColumn id="2" xr3:uid="{2163EBE3-15AA-4744-9CBE-B7F4C3BE5EDC}" name="Rep First Name" dataDxfId="50" totalsRowDxfId="51"/>
    <tableColumn id="3" xr3:uid="{F10C8CB9-F2FB-4049-BC0C-2250FFB10C71}" name="Rep Last Name" dataDxfId="48" totalsRowDxfId="49"/>
    <tableColumn id="25" xr3:uid="{5D5F642B-871B-4079-87B9-214500CE2738}" name="Complete name" dataDxfId="46" totalsRowDxfId="47">
      <calculatedColumnFormula>B2 &amp; " " &amp; C2</calculatedColumnFormula>
    </tableColumn>
    <tableColumn id="4" xr3:uid="{F3A570DA-2B5E-44AE-A3F3-032497C0A657}" name="Month" dataDxfId="44" totalsRowDxfId="45"/>
    <tableColumn id="5" xr3:uid="{135F911A-7EE4-4B40-9613-EFE51C0CD79E}" name="Product Type" dataDxfId="42" totalsRowDxfId="43"/>
    <tableColumn id="6" xr3:uid="{FACA9E4F-22C7-4E01-A4BB-B082B4C4A5B1}" name="Min Speed" dataDxfId="40" totalsRowDxfId="41"/>
    <tableColumn id="7" xr3:uid="{9ED3BDEF-BBF0-4CF7-9ACE-26B12C5100B9}" name="Speed" dataDxfId="38" totalsRowDxfId="39"/>
    <tableColumn id="24" xr3:uid="{8DA4A22F-9020-44B0-BF23-3BF41881CC30}" name="Max-min speed" dataDxfId="36" totalsRowDxfId="37">
      <calculatedColumnFormula>"Min " &amp; G2 &amp; " - Max " &amp; H2</calculatedColumnFormula>
    </tableColumn>
    <tableColumn id="8" xr3:uid="{008629C5-F677-4BD3-9345-2E89DAAD9445}" name="Distance" dataDxfId="34" totalsRowDxfId="35"/>
    <tableColumn id="19" xr3:uid="{E9FC5A25-8E71-40E0-B73F-1E53A280F6BF}" name="Columna2" dataDxfId="32" totalsRowDxfId="33"/>
    <tableColumn id="20" xr3:uid="{A4E38C90-6264-46C5-A983-F8BC39905A23}" name="Distance2" dataDxfId="30" totalsRowDxfId="31">
      <calculatedColumnFormula>IF(K2 = "miles", J2*1609.334,J2) &amp; " meters"</calculatedColumnFormula>
    </tableColumn>
    <tableColumn id="9" xr3:uid="{3CAB7699-42E3-4D17-9586-81BB38959E9C}" name="Shipping Address" dataDxfId="28" totalsRowDxfId="29"/>
    <tableColumn id="14" xr3:uid="{BAEFB556-8C12-4137-A47D-E8F7A9E5E893}" name="Street" dataDxfId="26" totalsRowDxfId="27"/>
    <tableColumn id="16" xr3:uid="{73AEEC75-6FE8-48FB-A1DC-8D14E569E92D}" name="City" dataDxfId="24" totalsRowDxfId="25"/>
    <tableColumn id="26" xr3:uid="{E0FCBB54-3EA3-49A4-A572-00E97F54A785}" name="Continent" dataDxfId="22" totalsRowDxfId="23">
      <calculatedColumnFormula>IF(Table32[[#This Row],[City]] = " Bengaluru","India",IF(Table32[[#This Row],[City]]=" Shanghai", "China", "Francia"))</calculatedColumnFormula>
    </tableColumn>
    <tableColumn id="15" xr3:uid="{9CFC7EF0-5B86-4488-BC1D-9177667A36DC}" name="Postal code" dataDxfId="20" totalsRowDxfId="21"/>
    <tableColumn id="10" xr3:uid="{7DBE8431-FDE7-4E37-8CAB-8981B59D6C62}" name="Country Code" dataDxfId="18" totalsRowDxfId="19"/>
    <tableColumn id="11" xr3:uid="{F13822AE-C619-4EFA-A716-CA5083AEBE25}" name="Unit Price €" dataDxfId="16" totalsRowDxfId="17"/>
    <tableColumn id="22" xr3:uid="{A636622E-FE1B-4A34-9593-4DC8B03A1710}" name="Unit Price ¥" dataDxfId="14" totalsRowDxfId="15"/>
    <tableColumn id="21" xr3:uid="{0DCAC98F-73CF-4DF2-AF0D-91CBC6B92D05}" name="Unit Price ₹" dataDxfId="12" totalsRowDxfId="13"/>
    <tableColumn id="23" xr3:uid="{4FE52FF9-5AAF-403C-AF23-73B57DE128CC}" name="Precio unitario €" dataDxfId="10" totalsRowDxfId="11">
      <calculatedColumnFormula>IF(S2&lt;&gt;"",S2,IF(T2&lt;&gt;"",T2*(0.005462),IF(U2&lt;&gt;"",U2*(0.00952),"")))</calculatedColumnFormula>
    </tableColumn>
    <tableColumn id="27" xr3:uid="{AB8DDE6F-27ED-456D-8289-5EA3AC78A2FB}" name="Precio unitario USD$" dataDxfId="8" totalsRowDxfId="9">
      <calculatedColumnFormula>V2*1.164</calculatedColumnFormula>
    </tableColumn>
    <tableColumn id="12" xr3:uid="{A8769F56-2044-445F-B27F-72C159AD212F}" name="Units Sold" dataDxfId="6" totalsRowDxfId="7"/>
    <tableColumn id="13" xr3:uid="{93F66850-6C66-4868-94ED-EEDCB405B237}" name="Discount (%)" dataDxfId="4" totalsRowDxfId="5"/>
    <tableColumn id="18" xr3:uid="{A367ACFA-488E-4DE3-AEB6-DDF6FFD7533D}" name="Columna1" dataDxfId="2" totalsRowDxfId="3">
      <calculatedColumnFormula>Y2*0</calculatedColumnFormula>
    </tableColumn>
    <tableColumn id="17" xr3:uid="{25C49451-2D4A-4137-BD5D-49381AE768C6}" name="Ventas totales" dataDxfId="0" totalsRowDxfId="1">
      <calculatedColumnFormula>X2*X2*(100%-Z2)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857D-582E-4C35-AF5B-DDE64DB09355}">
  <dimension ref="A1:M164"/>
  <sheetViews>
    <sheetView topLeftCell="D1" workbookViewId="0">
      <selection activeCell="K1" sqref="K1"/>
    </sheetView>
  </sheetViews>
  <sheetFormatPr defaultRowHeight="14.45"/>
  <cols>
    <col min="1" max="1" width="23.42578125" style="10" customWidth="1"/>
    <col min="2" max="2" width="24.5703125" style="10" customWidth="1"/>
    <col min="3" max="3" width="26" customWidth="1"/>
    <col min="4" max="4" width="18.7109375" customWidth="1"/>
    <col min="5" max="5" width="26.5703125" style="10" customWidth="1"/>
    <col min="6" max="6" width="24.85546875" customWidth="1"/>
    <col min="7" max="7" width="20" customWidth="1"/>
    <col min="8" max="8" width="23.5703125" style="10" customWidth="1"/>
    <col min="9" max="9" width="46.5703125" customWidth="1"/>
    <col min="10" max="10" width="27" style="10" customWidth="1"/>
    <col min="11" max="11" width="24.7109375" customWidth="1"/>
    <col min="12" max="12" width="23.140625" style="10" customWidth="1"/>
    <col min="13" max="13" width="28" customWidth="1"/>
  </cols>
  <sheetData>
    <row r="1" spans="1:13" ht="37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>
      <c r="A2" s="11">
        <v>1</v>
      </c>
      <c r="B2" s="8" t="s">
        <v>13</v>
      </c>
      <c r="C2" s="1" t="s">
        <v>14</v>
      </c>
      <c r="D2" s="1" t="s">
        <v>15</v>
      </c>
      <c r="E2" s="8" t="s">
        <v>16</v>
      </c>
      <c r="F2" s="1" t="s">
        <v>17</v>
      </c>
      <c r="G2" s="1" t="s">
        <v>18</v>
      </c>
      <c r="H2" s="8" t="s">
        <v>19</v>
      </c>
      <c r="I2" s="1" t="s">
        <v>20</v>
      </c>
      <c r="J2" s="8" t="s">
        <v>21</v>
      </c>
      <c r="K2" s="1" t="s">
        <v>22</v>
      </c>
      <c r="L2" s="8">
        <v>150</v>
      </c>
      <c r="M2" s="3">
        <v>10</v>
      </c>
    </row>
    <row r="3" spans="1:13">
      <c r="A3" s="11">
        <v>2</v>
      </c>
      <c r="B3" s="8" t="s">
        <v>13</v>
      </c>
      <c r="C3" s="1" t="s">
        <v>14</v>
      </c>
      <c r="D3" s="1" t="s">
        <v>15</v>
      </c>
      <c r="E3" s="8" t="s">
        <v>23</v>
      </c>
      <c r="F3" s="1" t="s">
        <v>24</v>
      </c>
      <c r="G3" s="1" t="s">
        <v>25</v>
      </c>
      <c r="H3" s="8" t="s">
        <v>26</v>
      </c>
      <c r="I3" s="1" t="s">
        <v>27</v>
      </c>
      <c r="J3" s="8" t="s">
        <v>21</v>
      </c>
      <c r="K3" s="1" t="s">
        <v>28</v>
      </c>
      <c r="L3" s="8">
        <v>300</v>
      </c>
      <c r="M3" s="3">
        <v>10</v>
      </c>
    </row>
    <row r="4" spans="1:13">
      <c r="A4" s="11">
        <v>2</v>
      </c>
      <c r="B4" s="8" t="s">
        <v>13</v>
      </c>
      <c r="C4" s="1" t="s">
        <v>14</v>
      </c>
      <c r="D4" s="1" t="s">
        <v>15</v>
      </c>
      <c r="E4" s="8" t="s">
        <v>23</v>
      </c>
      <c r="F4" s="1" t="s">
        <v>24</v>
      </c>
      <c r="G4" s="1" t="s">
        <v>25</v>
      </c>
      <c r="H4" s="8" t="s">
        <v>26</v>
      </c>
      <c r="I4" s="1" t="s">
        <v>27</v>
      </c>
      <c r="J4" s="8" t="s">
        <v>21</v>
      </c>
      <c r="K4" s="1" t="s">
        <v>28</v>
      </c>
      <c r="L4" s="8">
        <v>300</v>
      </c>
      <c r="M4" s="3">
        <v>10</v>
      </c>
    </row>
    <row r="5" spans="1:13">
      <c r="A5" s="11">
        <v>3</v>
      </c>
      <c r="B5" s="8" t="s">
        <v>13</v>
      </c>
      <c r="C5" s="1" t="s">
        <v>14</v>
      </c>
      <c r="D5" s="1" t="s">
        <v>15</v>
      </c>
      <c r="E5" s="8" t="s">
        <v>29</v>
      </c>
      <c r="F5" s="1" t="s">
        <v>30</v>
      </c>
      <c r="G5" s="1" t="s">
        <v>31</v>
      </c>
      <c r="H5" s="8" t="s">
        <v>32</v>
      </c>
      <c r="I5" s="1" t="s">
        <v>33</v>
      </c>
      <c r="J5" s="8" t="s">
        <v>21</v>
      </c>
      <c r="K5" s="1" t="s">
        <v>34</v>
      </c>
      <c r="L5" s="8">
        <v>200</v>
      </c>
      <c r="M5" s="3">
        <v>10</v>
      </c>
    </row>
    <row r="6" spans="1:13">
      <c r="A6" s="11">
        <v>4</v>
      </c>
      <c r="B6" s="8" t="s">
        <v>35</v>
      </c>
      <c r="C6" s="1" t="s">
        <v>36</v>
      </c>
      <c r="D6" s="1" t="s">
        <v>15</v>
      </c>
      <c r="E6" s="8" t="s">
        <v>16</v>
      </c>
      <c r="F6" s="1" t="s">
        <v>17</v>
      </c>
      <c r="G6" s="1" t="s">
        <v>18</v>
      </c>
      <c r="H6" s="8" t="s">
        <v>19</v>
      </c>
      <c r="I6" s="1" t="s">
        <v>37</v>
      </c>
      <c r="J6" s="8" t="s">
        <v>38</v>
      </c>
      <c r="K6" s="1" t="s">
        <v>39</v>
      </c>
      <c r="L6" s="8">
        <v>500</v>
      </c>
      <c r="M6" s="3">
        <v>10</v>
      </c>
    </row>
    <row r="7" spans="1:13">
      <c r="A7" s="11">
        <v>5</v>
      </c>
      <c r="B7" s="8" t="s">
        <v>35</v>
      </c>
      <c r="C7" s="1" t="s">
        <v>36</v>
      </c>
      <c r="D7" s="1" t="s">
        <v>15</v>
      </c>
      <c r="E7" s="8" t="s">
        <v>23</v>
      </c>
      <c r="F7" s="1" t="s">
        <v>24</v>
      </c>
      <c r="G7" s="1" t="s">
        <v>25</v>
      </c>
      <c r="H7" s="8" t="s">
        <v>26</v>
      </c>
      <c r="I7" s="1" t="s">
        <v>40</v>
      </c>
      <c r="J7" s="8" t="s">
        <v>38</v>
      </c>
      <c r="K7" s="1" t="s">
        <v>41</v>
      </c>
      <c r="L7" s="8">
        <v>1000</v>
      </c>
      <c r="M7" s="3">
        <v>10</v>
      </c>
    </row>
    <row r="8" spans="1:13">
      <c r="A8" s="11">
        <v>6</v>
      </c>
      <c r="B8" s="8" t="s">
        <v>35</v>
      </c>
      <c r="C8" s="1" t="s">
        <v>36</v>
      </c>
      <c r="D8" s="1" t="s">
        <v>15</v>
      </c>
      <c r="E8" s="8" t="s">
        <v>29</v>
      </c>
      <c r="F8" s="1"/>
      <c r="G8" s="1" t="s">
        <v>31</v>
      </c>
      <c r="H8" s="8" t="s">
        <v>42</v>
      </c>
      <c r="I8" s="1" t="s">
        <v>43</v>
      </c>
      <c r="J8" s="8" t="s">
        <v>38</v>
      </c>
      <c r="K8" s="1" t="s">
        <v>44</v>
      </c>
      <c r="L8" s="8">
        <v>800</v>
      </c>
      <c r="M8" s="3">
        <v>10</v>
      </c>
    </row>
    <row r="9" spans="1:13">
      <c r="A9" s="11">
        <v>7</v>
      </c>
      <c r="B9" s="8" t="s">
        <v>45</v>
      </c>
      <c r="C9" s="1" t="s">
        <v>46</v>
      </c>
      <c r="D9" s="1" t="s">
        <v>15</v>
      </c>
      <c r="E9" s="8" t="s">
        <v>16</v>
      </c>
      <c r="F9" s="1" t="s">
        <v>17</v>
      </c>
      <c r="G9" s="1" t="s">
        <v>18</v>
      </c>
      <c r="H9" s="8" t="s">
        <v>47</v>
      </c>
      <c r="I9" s="1" t="s">
        <v>48</v>
      </c>
      <c r="J9" s="8" t="s">
        <v>49</v>
      </c>
      <c r="K9" s="1" t="s">
        <v>50</v>
      </c>
      <c r="L9" s="8">
        <v>120</v>
      </c>
      <c r="M9" s="3">
        <v>10</v>
      </c>
    </row>
    <row r="10" spans="1:13">
      <c r="A10" s="11">
        <v>8</v>
      </c>
      <c r="B10" s="8" t="s">
        <v>45</v>
      </c>
      <c r="C10" s="1" t="s">
        <v>46</v>
      </c>
      <c r="D10" s="1" t="s">
        <v>15</v>
      </c>
      <c r="E10" s="8" t="s">
        <v>23</v>
      </c>
      <c r="F10" s="1" t="s">
        <v>24</v>
      </c>
      <c r="G10" s="1" t="s">
        <v>25</v>
      </c>
      <c r="H10" s="8" t="s">
        <v>26</v>
      </c>
      <c r="I10" s="1" t="s">
        <v>51</v>
      </c>
      <c r="J10" s="8" t="s">
        <v>49</v>
      </c>
      <c r="K10" s="1" t="s">
        <v>52</v>
      </c>
      <c r="L10" s="8">
        <v>200</v>
      </c>
      <c r="M10" s="3">
        <v>10</v>
      </c>
    </row>
    <row r="11" spans="1:13">
      <c r="A11" s="11">
        <v>8</v>
      </c>
      <c r="B11" s="8" t="s">
        <v>45</v>
      </c>
      <c r="C11" s="1" t="s">
        <v>46</v>
      </c>
      <c r="D11" s="1" t="s">
        <v>15</v>
      </c>
      <c r="E11" s="8" t="s">
        <v>23</v>
      </c>
      <c r="F11" s="1" t="s">
        <v>24</v>
      </c>
      <c r="G11" s="1" t="s">
        <v>25</v>
      </c>
      <c r="H11" s="8" t="s">
        <v>26</v>
      </c>
      <c r="I11" s="1" t="s">
        <v>51</v>
      </c>
      <c r="J11" s="8" t="s">
        <v>49</v>
      </c>
      <c r="K11" s="1" t="s">
        <v>52</v>
      </c>
      <c r="L11" s="8">
        <v>200</v>
      </c>
      <c r="M11" s="3">
        <v>10</v>
      </c>
    </row>
    <row r="12" spans="1:13">
      <c r="A12" s="11">
        <v>9</v>
      </c>
      <c r="B12" s="8" t="s">
        <v>45</v>
      </c>
      <c r="C12" s="1" t="s">
        <v>46</v>
      </c>
      <c r="D12" s="1" t="s">
        <v>15</v>
      </c>
      <c r="E12" s="8" t="s">
        <v>29</v>
      </c>
      <c r="F12" s="1" t="s">
        <v>30</v>
      </c>
      <c r="G12" s="1" t="s">
        <v>31</v>
      </c>
      <c r="H12" s="8" t="s">
        <v>32</v>
      </c>
      <c r="I12" s="1" t="s">
        <v>53</v>
      </c>
      <c r="J12" s="8" t="s">
        <v>49</v>
      </c>
      <c r="K12" s="1" t="s">
        <v>54</v>
      </c>
      <c r="L12" s="8">
        <v>150</v>
      </c>
      <c r="M12" s="3">
        <v>10</v>
      </c>
    </row>
    <row r="13" spans="1:13">
      <c r="A13" s="11">
        <v>10</v>
      </c>
      <c r="B13" s="8" t="s">
        <v>55</v>
      </c>
      <c r="C13" s="1" t="s">
        <v>56</v>
      </c>
      <c r="D13" s="1" t="s">
        <v>15</v>
      </c>
      <c r="E13" s="8" t="s">
        <v>16</v>
      </c>
      <c r="F13" s="1" t="s">
        <v>17</v>
      </c>
      <c r="G13" s="1" t="s">
        <v>18</v>
      </c>
      <c r="H13" s="8" t="s">
        <v>19</v>
      </c>
      <c r="I13" s="1" t="s">
        <v>57</v>
      </c>
      <c r="J13" s="8" t="s">
        <v>58</v>
      </c>
      <c r="K13" s="1" t="s">
        <v>59</v>
      </c>
      <c r="L13" s="8">
        <v>100</v>
      </c>
      <c r="M13" s="3">
        <v>10</v>
      </c>
    </row>
    <row r="14" spans="1:13">
      <c r="A14" s="11">
        <v>11</v>
      </c>
      <c r="B14" s="8" t="s">
        <v>55</v>
      </c>
      <c r="C14" s="1" t="s">
        <v>56</v>
      </c>
      <c r="D14" s="1" t="s">
        <v>15</v>
      </c>
      <c r="E14" s="8" t="s">
        <v>23</v>
      </c>
      <c r="F14" s="1" t="s">
        <v>24</v>
      </c>
      <c r="G14" s="1" t="s">
        <v>25</v>
      </c>
      <c r="H14" s="8" t="s">
        <v>60</v>
      </c>
      <c r="I14" s="1" t="s">
        <v>61</v>
      </c>
      <c r="J14" s="8" t="s">
        <v>58</v>
      </c>
      <c r="K14" s="1" t="s">
        <v>62</v>
      </c>
      <c r="L14" s="8">
        <v>250</v>
      </c>
      <c r="M14" s="3">
        <v>10</v>
      </c>
    </row>
    <row r="15" spans="1:13">
      <c r="A15" s="11">
        <v>12</v>
      </c>
      <c r="B15" s="8" t="s">
        <v>55</v>
      </c>
      <c r="C15" s="1" t="s">
        <v>56</v>
      </c>
      <c r="D15" s="1" t="s">
        <v>15</v>
      </c>
      <c r="E15" s="8" t="s">
        <v>29</v>
      </c>
      <c r="F15" s="1" t="s">
        <v>30</v>
      </c>
      <c r="G15" s="1" t="s">
        <v>31</v>
      </c>
      <c r="H15" s="8" t="s">
        <v>32</v>
      </c>
      <c r="I15" s="1" t="s">
        <v>63</v>
      </c>
      <c r="J15" s="8" t="s">
        <v>58</v>
      </c>
      <c r="K15" s="1" t="s">
        <v>64</v>
      </c>
      <c r="L15" s="8">
        <v>180</v>
      </c>
      <c r="M15" s="3">
        <v>10</v>
      </c>
    </row>
    <row r="16" spans="1:13">
      <c r="A16" s="11">
        <v>13</v>
      </c>
      <c r="B16" s="8" t="s">
        <v>13</v>
      </c>
      <c r="C16" s="1" t="s">
        <v>14</v>
      </c>
      <c r="D16" s="1" t="s">
        <v>65</v>
      </c>
      <c r="E16" s="8" t="s">
        <v>16</v>
      </c>
      <c r="F16" s="1" t="s">
        <v>17</v>
      </c>
      <c r="G16" s="1" t="s">
        <v>18</v>
      </c>
      <c r="H16" s="8" t="s">
        <v>19</v>
      </c>
      <c r="I16" s="1" t="s">
        <v>20</v>
      </c>
      <c r="J16" s="8" t="s">
        <v>21</v>
      </c>
      <c r="K16" s="1" t="s">
        <v>22</v>
      </c>
      <c r="L16" s="8">
        <v>160</v>
      </c>
      <c r="M16" s="3">
        <v>0</v>
      </c>
    </row>
    <row r="17" spans="1:13">
      <c r="A17" s="11">
        <v>14</v>
      </c>
      <c r="B17" s="8" t="s">
        <v>13</v>
      </c>
      <c r="C17" s="1" t="s">
        <v>14</v>
      </c>
      <c r="D17" s="1" t="s">
        <v>65</v>
      </c>
      <c r="E17" s="8" t="s">
        <v>23</v>
      </c>
      <c r="F17" s="1"/>
      <c r="G17" s="1" t="s">
        <v>25</v>
      </c>
      <c r="H17" s="8" t="s">
        <v>26</v>
      </c>
      <c r="I17" s="1" t="s">
        <v>27</v>
      </c>
      <c r="J17" s="8" t="s">
        <v>21</v>
      </c>
      <c r="K17" s="1" t="s">
        <v>28</v>
      </c>
      <c r="L17" s="8">
        <v>350</v>
      </c>
      <c r="M17" s="3">
        <v>0</v>
      </c>
    </row>
    <row r="18" spans="1:13">
      <c r="A18" s="11">
        <v>15</v>
      </c>
      <c r="B18" s="8" t="s">
        <v>13</v>
      </c>
      <c r="C18" s="1" t="s">
        <v>14</v>
      </c>
      <c r="D18" s="1" t="s">
        <v>65</v>
      </c>
      <c r="E18" s="8" t="s">
        <v>29</v>
      </c>
      <c r="F18" s="1" t="s">
        <v>30</v>
      </c>
      <c r="G18" s="1" t="s">
        <v>31</v>
      </c>
      <c r="H18" s="8" t="s">
        <v>32</v>
      </c>
      <c r="I18" s="1" t="s">
        <v>33</v>
      </c>
      <c r="J18" s="8" t="s">
        <v>21</v>
      </c>
      <c r="K18" s="1" t="s">
        <v>34</v>
      </c>
      <c r="L18" s="8">
        <v>220</v>
      </c>
      <c r="M18" s="3">
        <v>0</v>
      </c>
    </row>
    <row r="19" spans="1:13">
      <c r="A19" s="11">
        <v>16</v>
      </c>
      <c r="B19" s="8" t="s">
        <v>35</v>
      </c>
      <c r="C19" s="1" t="s">
        <v>36</v>
      </c>
      <c r="D19" s="1" t="s">
        <v>65</v>
      </c>
      <c r="E19" s="8" t="s">
        <v>16</v>
      </c>
      <c r="F19" s="1" t="s">
        <v>17</v>
      </c>
      <c r="G19" s="1" t="s">
        <v>18</v>
      </c>
      <c r="H19" s="8" t="s">
        <v>47</v>
      </c>
      <c r="I19" s="1" t="s">
        <v>37</v>
      </c>
      <c r="J19" s="8" t="s">
        <v>38</v>
      </c>
      <c r="K19" s="1" t="s">
        <v>39</v>
      </c>
      <c r="L19" s="8">
        <v>550</v>
      </c>
      <c r="M19" s="3">
        <v>0</v>
      </c>
    </row>
    <row r="20" spans="1:13">
      <c r="A20" s="11">
        <v>17</v>
      </c>
      <c r="B20" s="8" t="s">
        <v>35</v>
      </c>
      <c r="C20" s="1" t="s">
        <v>36</v>
      </c>
      <c r="D20" s="1" t="s">
        <v>65</v>
      </c>
      <c r="E20" s="8" t="s">
        <v>23</v>
      </c>
      <c r="F20" s="1" t="s">
        <v>24</v>
      </c>
      <c r="G20" s="1" t="s">
        <v>25</v>
      </c>
      <c r="H20" s="8" t="s">
        <v>26</v>
      </c>
      <c r="I20" s="1" t="s">
        <v>40</v>
      </c>
      <c r="J20" s="8" t="s">
        <v>38</v>
      </c>
      <c r="K20" s="1" t="s">
        <v>41</v>
      </c>
      <c r="L20" s="8">
        <v>1200</v>
      </c>
      <c r="M20" s="3">
        <v>0</v>
      </c>
    </row>
    <row r="21" spans="1:13">
      <c r="A21" s="11">
        <v>17</v>
      </c>
      <c r="B21" s="8" t="s">
        <v>35</v>
      </c>
      <c r="C21" s="1" t="s">
        <v>36</v>
      </c>
      <c r="D21" s="1" t="s">
        <v>65</v>
      </c>
      <c r="E21" s="8" t="s">
        <v>23</v>
      </c>
      <c r="F21" s="1" t="s">
        <v>24</v>
      </c>
      <c r="G21" s="1" t="s">
        <v>25</v>
      </c>
      <c r="H21" s="8" t="s">
        <v>26</v>
      </c>
      <c r="I21" s="1" t="s">
        <v>40</v>
      </c>
      <c r="J21" s="8" t="s">
        <v>38</v>
      </c>
      <c r="K21" s="1" t="s">
        <v>41</v>
      </c>
      <c r="L21" s="8">
        <v>1200</v>
      </c>
      <c r="M21" s="3">
        <v>0</v>
      </c>
    </row>
    <row r="22" spans="1:13">
      <c r="A22" s="11">
        <v>18</v>
      </c>
      <c r="B22" s="8" t="s">
        <v>35</v>
      </c>
      <c r="C22" s="1" t="s">
        <v>36</v>
      </c>
      <c r="D22" s="1" t="s">
        <v>65</v>
      </c>
      <c r="E22" s="8" t="s">
        <v>29</v>
      </c>
      <c r="F22" s="1" t="s">
        <v>30</v>
      </c>
      <c r="G22" s="1" t="s">
        <v>31</v>
      </c>
      <c r="H22" s="8" t="s">
        <v>32</v>
      </c>
      <c r="I22" s="1" t="s">
        <v>43</v>
      </c>
      <c r="J22" s="8" t="s">
        <v>38</v>
      </c>
      <c r="K22" s="1" t="s">
        <v>44</v>
      </c>
      <c r="L22" s="8">
        <v>850</v>
      </c>
      <c r="M22" s="3">
        <v>0</v>
      </c>
    </row>
    <row r="23" spans="1:13">
      <c r="A23" s="11">
        <v>19</v>
      </c>
      <c r="B23" s="8" t="s">
        <v>45</v>
      </c>
      <c r="C23" s="1" t="s">
        <v>46</v>
      </c>
      <c r="D23" s="1" t="s">
        <v>65</v>
      </c>
      <c r="E23" s="8" t="s">
        <v>16</v>
      </c>
      <c r="F23" s="1" t="s">
        <v>17</v>
      </c>
      <c r="G23" s="1" t="s">
        <v>18</v>
      </c>
      <c r="H23" s="8" t="s">
        <v>19</v>
      </c>
      <c r="I23" s="1" t="s">
        <v>48</v>
      </c>
      <c r="J23" s="8" t="s">
        <v>49</v>
      </c>
      <c r="K23" s="1" t="s">
        <v>50</v>
      </c>
      <c r="L23" s="8">
        <v>130</v>
      </c>
      <c r="M23" s="3">
        <v>0</v>
      </c>
    </row>
    <row r="24" spans="1:13">
      <c r="A24" s="11">
        <v>20</v>
      </c>
      <c r="B24" s="8" t="s">
        <v>45</v>
      </c>
      <c r="C24" s="1" t="s">
        <v>46</v>
      </c>
      <c r="D24" s="1" t="s">
        <v>65</v>
      </c>
      <c r="E24" s="8" t="s">
        <v>23</v>
      </c>
      <c r="F24" s="1" t="s">
        <v>24</v>
      </c>
      <c r="G24" s="1" t="s">
        <v>25</v>
      </c>
      <c r="H24" s="8" t="s">
        <v>26</v>
      </c>
      <c r="I24" s="1" t="s">
        <v>51</v>
      </c>
      <c r="J24" s="8" t="s">
        <v>49</v>
      </c>
      <c r="K24" s="1" t="s">
        <v>52</v>
      </c>
      <c r="L24" s="8">
        <v>220</v>
      </c>
      <c r="M24" s="3">
        <v>0</v>
      </c>
    </row>
    <row r="25" spans="1:13">
      <c r="A25" s="11">
        <v>21</v>
      </c>
      <c r="B25" s="8" t="s">
        <v>45</v>
      </c>
      <c r="C25" s="1" t="s">
        <v>46</v>
      </c>
      <c r="D25" s="1" t="s">
        <v>65</v>
      </c>
      <c r="E25" s="8" t="s">
        <v>29</v>
      </c>
      <c r="F25" s="1" t="s">
        <v>30</v>
      </c>
      <c r="G25" s="1" t="s">
        <v>31</v>
      </c>
      <c r="H25" s="8" t="s">
        <v>32</v>
      </c>
      <c r="I25" s="1" t="s">
        <v>53</v>
      </c>
      <c r="J25" s="8" t="s">
        <v>49</v>
      </c>
      <c r="K25" s="1" t="s">
        <v>54</v>
      </c>
      <c r="L25" s="8">
        <v>160</v>
      </c>
      <c r="M25" s="3">
        <v>0</v>
      </c>
    </row>
    <row r="26" spans="1:13">
      <c r="A26" s="11">
        <v>22</v>
      </c>
      <c r="B26" s="8" t="s">
        <v>55</v>
      </c>
      <c r="C26" s="1" t="s">
        <v>56</v>
      </c>
      <c r="D26" s="1" t="s">
        <v>65</v>
      </c>
      <c r="E26" s="8" t="s">
        <v>16</v>
      </c>
      <c r="F26" s="1" t="s">
        <v>17</v>
      </c>
      <c r="G26" s="1" t="s">
        <v>18</v>
      </c>
      <c r="H26" s="8" t="s">
        <v>19</v>
      </c>
      <c r="I26" s="1" t="s">
        <v>57</v>
      </c>
      <c r="J26" s="8" t="s">
        <v>58</v>
      </c>
      <c r="K26" s="1" t="s">
        <v>59</v>
      </c>
      <c r="L26" s="8">
        <v>110</v>
      </c>
      <c r="M26" s="3">
        <v>0</v>
      </c>
    </row>
    <row r="27" spans="1:13">
      <c r="A27" s="11">
        <v>23</v>
      </c>
      <c r="B27" s="8" t="s">
        <v>55</v>
      </c>
      <c r="C27" s="1" t="s">
        <v>56</v>
      </c>
      <c r="D27" s="1" t="s">
        <v>65</v>
      </c>
      <c r="E27" s="8" t="s">
        <v>23</v>
      </c>
      <c r="F27" s="1" t="s">
        <v>24</v>
      </c>
      <c r="G27" s="1" t="s">
        <v>25</v>
      </c>
      <c r="H27" s="8" t="s">
        <v>26</v>
      </c>
      <c r="I27" s="1" t="s">
        <v>61</v>
      </c>
      <c r="J27" s="8" t="s">
        <v>58</v>
      </c>
      <c r="K27" s="1" t="s">
        <v>62</v>
      </c>
      <c r="L27" s="8">
        <v>260</v>
      </c>
      <c r="M27" s="3">
        <v>0</v>
      </c>
    </row>
    <row r="28" spans="1:13">
      <c r="A28" s="11">
        <v>23</v>
      </c>
      <c r="B28" s="8" t="s">
        <v>55</v>
      </c>
      <c r="C28" s="1" t="s">
        <v>56</v>
      </c>
      <c r="D28" s="1" t="s">
        <v>65</v>
      </c>
      <c r="E28" s="8" t="s">
        <v>23</v>
      </c>
      <c r="F28" s="1" t="s">
        <v>24</v>
      </c>
      <c r="G28" s="1" t="s">
        <v>25</v>
      </c>
      <c r="H28" s="8" t="s">
        <v>26</v>
      </c>
      <c r="I28" s="1" t="s">
        <v>61</v>
      </c>
      <c r="J28" s="8" t="s">
        <v>58</v>
      </c>
      <c r="K28" s="1" t="s">
        <v>62</v>
      </c>
      <c r="L28" s="8">
        <v>260</v>
      </c>
      <c r="M28" s="3">
        <v>0</v>
      </c>
    </row>
    <row r="29" spans="1:13">
      <c r="A29" s="11">
        <v>24</v>
      </c>
      <c r="B29" s="8" t="s">
        <v>55</v>
      </c>
      <c r="C29" s="1" t="s">
        <v>56</v>
      </c>
      <c r="D29" s="1" t="s">
        <v>65</v>
      </c>
      <c r="E29" s="8" t="s">
        <v>29</v>
      </c>
      <c r="F29" s="1" t="s">
        <v>30</v>
      </c>
      <c r="G29" s="1" t="s">
        <v>31</v>
      </c>
      <c r="H29" s="8" t="s">
        <v>42</v>
      </c>
      <c r="I29" s="1" t="s">
        <v>63</v>
      </c>
      <c r="J29" s="8" t="s">
        <v>58</v>
      </c>
      <c r="K29" s="1" t="s">
        <v>64</v>
      </c>
      <c r="L29" s="8">
        <v>200</v>
      </c>
      <c r="M29" s="3">
        <v>0</v>
      </c>
    </row>
    <row r="30" spans="1:13">
      <c r="A30" s="11">
        <v>25</v>
      </c>
      <c r="B30" s="8" t="s">
        <v>13</v>
      </c>
      <c r="C30" s="1" t="s">
        <v>14</v>
      </c>
      <c r="D30" s="1" t="s">
        <v>66</v>
      </c>
      <c r="E30" s="8" t="s">
        <v>16</v>
      </c>
      <c r="F30" s="1" t="s">
        <v>17</v>
      </c>
      <c r="G30" s="1" t="s">
        <v>18</v>
      </c>
      <c r="H30" s="8" t="s">
        <v>19</v>
      </c>
      <c r="I30" s="1" t="s">
        <v>20</v>
      </c>
      <c r="J30" s="8" t="s">
        <v>21</v>
      </c>
      <c r="K30" s="1" t="s">
        <v>22</v>
      </c>
      <c r="L30" s="8">
        <v>160</v>
      </c>
      <c r="M30" s="3">
        <v>0</v>
      </c>
    </row>
    <row r="31" spans="1:13">
      <c r="A31" s="11">
        <v>26</v>
      </c>
      <c r="B31" s="8" t="s">
        <v>13</v>
      </c>
      <c r="C31" s="1" t="s">
        <v>14</v>
      </c>
      <c r="D31" s="1" t="s">
        <v>66</v>
      </c>
      <c r="E31" s="8" t="s">
        <v>23</v>
      </c>
      <c r="F31" s="1"/>
      <c r="G31" s="1" t="s">
        <v>25</v>
      </c>
      <c r="H31" s="8" t="s">
        <v>26</v>
      </c>
      <c r="I31" s="1" t="s">
        <v>27</v>
      </c>
      <c r="J31" s="8" t="s">
        <v>21</v>
      </c>
      <c r="K31" s="1" t="s">
        <v>28</v>
      </c>
      <c r="L31" s="8">
        <v>350</v>
      </c>
      <c r="M31" s="3">
        <v>0</v>
      </c>
    </row>
    <row r="32" spans="1:13">
      <c r="A32" s="11">
        <v>27</v>
      </c>
      <c r="B32" s="8" t="s">
        <v>13</v>
      </c>
      <c r="C32" s="1" t="s">
        <v>14</v>
      </c>
      <c r="D32" s="1" t="s">
        <v>66</v>
      </c>
      <c r="E32" s="8" t="s">
        <v>29</v>
      </c>
      <c r="F32" s="1" t="s">
        <v>30</v>
      </c>
      <c r="G32" s="1" t="s">
        <v>31</v>
      </c>
      <c r="H32" s="8" t="s">
        <v>32</v>
      </c>
      <c r="I32" s="1" t="s">
        <v>33</v>
      </c>
      <c r="J32" s="8" t="s">
        <v>21</v>
      </c>
      <c r="K32" s="1" t="s">
        <v>34</v>
      </c>
      <c r="L32" s="8">
        <v>220</v>
      </c>
      <c r="M32" s="3">
        <v>0</v>
      </c>
    </row>
    <row r="33" spans="1:13">
      <c r="A33" s="11">
        <v>28</v>
      </c>
      <c r="B33" s="8" t="s">
        <v>35</v>
      </c>
      <c r="C33" s="1" t="s">
        <v>36</v>
      </c>
      <c r="D33" s="1" t="s">
        <v>66</v>
      </c>
      <c r="E33" s="8" t="s">
        <v>16</v>
      </c>
      <c r="F33" s="1" t="s">
        <v>17</v>
      </c>
      <c r="G33" s="1" t="s">
        <v>18</v>
      </c>
      <c r="H33" s="8" t="s">
        <v>19</v>
      </c>
      <c r="I33" s="1" t="s">
        <v>37</v>
      </c>
      <c r="J33" s="8" t="s">
        <v>38</v>
      </c>
      <c r="K33" s="1" t="s">
        <v>39</v>
      </c>
      <c r="L33" s="8">
        <v>550</v>
      </c>
      <c r="M33" s="3">
        <v>0</v>
      </c>
    </row>
    <row r="34" spans="1:13">
      <c r="A34" s="11">
        <v>29</v>
      </c>
      <c r="B34" s="8" t="s">
        <v>35</v>
      </c>
      <c r="C34" s="1" t="s">
        <v>36</v>
      </c>
      <c r="D34" s="1" t="s">
        <v>66</v>
      </c>
      <c r="E34" s="8" t="s">
        <v>23</v>
      </c>
      <c r="F34" s="1" t="s">
        <v>24</v>
      </c>
      <c r="G34" s="1" t="s">
        <v>25</v>
      </c>
      <c r="H34" s="8" t="s">
        <v>60</v>
      </c>
      <c r="I34" s="1" t="s">
        <v>40</v>
      </c>
      <c r="J34" s="8" t="s">
        <v>38</v>
      </c>
      <c r="K34" s="1" t="s">
        <v>41</v>
      </c>
      <c r="L34" s="8">
        <v>1200</v>
      </c>
      <c r="M34" s="3">
        <v>0</v>
      </c>
    </row>
    <row r="35" spans="1:13">
      <c r="A35" s="11">
        <v>30</v>
      </c>
      <c r="B35" s="8" t="s">
        <v>35</v>
      </c>
      <c r="C35" s="1" t="s">
        <v>36</v>
      </c>
      <c r="D35" s="1" t="s">
        <v>66</v>
      </c>
      <c r="E35" s="8" t="s">
        <v>29</v>
      </c>
      <c r="F35" s="1" t="s">
        <v>30</v>
      </c>
      <c r="G35" s="1" t="s">
        <v>31</v>
      </c>
      <c r="H35" s="8" t="s">
        <v>32</v>
      </c>
      <c r="I35" s="1" t="s">
        <v>43</v>
      </c>
      <c r="J35" s="8" t="s">
        <v>38</v>
      </c>
      <c r="K35" s="1" t="s">
        <v>44</v>
      </c>
      <c r="L35" s="8">
        <v>850</v>
      </c>
      <c r="M35" s="3">
        <v>0</v>
      </c>
    </row>
    <row r="36" spans="1:13">
      <c r="A36" s="11">
        <v>30</v>
      </c>
      <c r="B36" s="8" t="s">
        <v>35</v>
      </c>
      <c r="C36" s="1" t="s">
        <v>36</v>
      </c>
      <c r="D36" s="1" t="s">
        <v>66</v>
      </c>
      <c r="E36" s="8" t="s">
        <v>29</v>
      </c>
      <c r="F36" s="1" t="s">
        <v>30</v>
      </c>
      <c r="G36" s="1" t="s">
        <v>31</v>
      </c>
      <c r="H36" s="8" t="s">
        <v>32</v>
      </c>
      <c r="I36" s="1" t="s">
        <v>43</v>
      </c>
      <c r="J36" s="8" t="s">
        <v>38</v>
      </c>
      <c r="K36" s="1" t="s">
        <v>44</v>
      </c>
      <c r="L36" s="8">
        <v>850</v>
      </c>
      <c r="M36" s="3">
        <v>0</v>
      </c>
    </row>
    <row r="37" spans="1:13">
      <c r="A37" s="11">
        <v>31</v>
      </c>
      <c r="B37" s="8" t="s">
        <v>45</v>
      </c>
      <c r="C37" s="1" t="s">
        <v>46</v>
      </c>
      <c r="D37" s="1" t="s">
        <v>66</v>
      </c>
      <c r="E37" s="8" t="s">
        <v>16</v>
      </c>
      <c r="F37" s="1" t="s">
        <v>17</v>
      </c>
      <c r="G37" s="1" t="s">
        <v>18</v>
      </c>
      <c r="H37" s="8" t="s">
        <v>19</v>
      </c>
      <c r="I37" s="1" t="s">
        <v>48</v>
      </c>
      <c r="J37" s="8" t="s">
        <v>49</v>
      </c>
      <c r="K37" s="1" t="s">
        <v>50</v>
      </c>
      <c r="L37" s="8">
        <v>130</v>
      </c>
      <c r="M37" s="3">
        <v>0</v>
      </c>
    </row>
    <row r="38" spans="1:13">
      <c r="A38" s="11">
        <v>32</v>
      </c>
      <c r="B38" s="8" t="s">
        <v>45</v>
      </c>
      <c r="C38" s="1" t="s">
        <v>46</v>
      </c>
      <c r="D38" s="1" t="s">
        <v>66</v>
      </c>
      <c r="E38" s="8" t="s">
        <v>23</v>
      </c>
      <c r="F38" s="1" t="s">
        <v>24</v>
      </c>
      <c r="G38" s="1" t="s">
        <v>25</v>
      </c>
      <c r="H38" s="8" t="s">
        <v>26</v>
      </c>
      <c r="I38" s="1" t="s">
        <v>51</v>
      </c>
      <c r="J38" s="8" t="s">
        <v>49</v>
      </c>
      <c r="K38" s="1" t="s">
        <v>52</v>
      </c>
      <c r="L38" s="8">
        <v>220</v>
      </c>
      <c r="M38" s="3">
        <v>0</v>
      </c>
    </row>
    <row r="39" spans="1:13">
      <c r="A39" s="11">
        <v>33</v>
      </c>
      <c r="B39" s="8" t="s">
        <v>45</v>
      </c>
      <c r="C39" s="1" t="s">
        <v>46</v>
      </c>
      <c r="D39" s="1" t="s">
        <v>66</v>
      </c>
      <c r="E39" s="8" t="s">
        <v>29</v>
      </c>
      <c r="F39" s="1" t="s">
        <v>30</v>
      </c>
      <c r="G39" s="1" t="s">
        <v>31</v>
      </c>
      <c r="H39" s="8" t="s">
        <v>32</v>
      </c>
      <c r="I39" s="1" t="s">
        <v>53</v>
      </c>
      <c r="J39" s="8" t="s">
        <v>49</v>
      </c>
      <c r="K39" s="1" t="s">
        <v>54</v>
      </c>
      <c r="L39" s="8">
        <v>160</v>
      </c>
      <c r="M39" s="3">
        <v>0</v>
      </c>
    </row>
    <row r="40" spans="1:13">
      <c r="A40" s="11">
        <v>34</v>
      </c>
      <c r="B40" s="8" t="s">
        <v>55</v>
      </c>
      <c r="C40" s="1" t="s">
        <v>56</v>
      </c>
      <c r="D40" s="1" t="s">
        <v>66</v>
      </c>
      <c r="E40" s="8" t="s">
        <v>16</v>
      </c>
      <c r="F40" s="1" t="s">
        <v>17</v>
      </c>
      <c r="G40" s="1" t="s">
        <v>18</v>
      </c>
      <c r="H40" s="8" t="s">
        <v>47</v>
      </c>
      <c r="I40" s="1" t="s">
        <v>57</v>
      </c>
      <c r="J40" s="8" t="s">
        <v>58</v>
      </c>
      <c r="K40" s="1" t="s">
        <v>59</v>
      </c>
      <c r="L40" s="8">
        <v>110</v>
      </c>
      <c r="M40" s="3">
        <v>0</v>
      </c>
    </row>
    <row r="41" spans="1:13">
      <c r="A41" s="11">
        <v>35</v>
      </c>
      <c r="B41" s="8" t="s">
        <v>55</v>
      </c>
      <c r="C41" s="1" t="s">
        <v>56</v>
      </c>
      <c r="D41" s="1" t="s">
        <v>66</v>
      </c>
      <c r="E41" s="8" t="s">
        <v>23</v>
      </c>
      <c r="F41" s="1" t="s">
        <v>24</v>
      </c>
      <c r="G41" s="1" t="s">
        <v>25</v>
      </c>
      <c r="H41" s="8" t="s">
        <v>26</v>
      </c>
      <c r="I41" s="1" t="s">
        <v>61</v>
      </c>
      <c r="J41" s="8" t="s">
        <v>58</v>
      </c>
      <c r="K41" s="1" t="s">
        <v>62</v>
      </c>
      <c r="L41" s="8">
        <v>260</v>
      </c>
      <c r="M41" s="3">
        <v>0</v>
      </c>
    </row>
    <row r="42" spans="1:13">
      <c r="A42" s="11">
        <v>36</v>
      </c>
      <c r="B42" s="8" t="s">
        <v>55</v>
      </c>
      <c r="C42" s="1" t="s">
        <v>56</v>
      </c>
      <c r="D42" s="1" t="s">
        <v>66</v>
      </c>
      <c r="E42" s="8" t="s">
        <v>29</v>
      </c>
      <c r="F42" s="1" t="s">
        <v>30</v>
      </c>
      <c r="G42" s="1" t="s">
        <v>31</v>
      </c>
      <c r="H42" s="8" t="s">
        <v>32</v>
      </c>
      <c r="I42" s="1" t="s">
        <v>63</v>
      </c>
      <c r="J42" s="8" t="s">
        <v>58</v>
      </c>
      <c r="K42" s="1" t="s">
        <v>64</v>
      </c>
      <c r="L42" s="8">
        <v>200</v>
      </c>
      <c r="M42" s="3">
        <v>0</v>
      </c>
    </row>
    <row r="43" spans="1:13">
      <c r="A43" s="11">
        <v>37</v>
      </c>
      <c r="B43" s="8" t="s">
        <v>13</v>
      </c>
      <c r="C43" s="1" t="s">
        <v>14</v>
      </c>
      <c r="D43" s="1" t="s">
        <v>67</v>
      </c>
      <c r="E43" s="8" t="s">
        <v>16</v>
      </c>
      <c r="F43" s="1" t="s">
        <v>17</v>
      </c>
      <c r="G43" s="1" t="s">
        <v>18</v>
      </c>
      <c r="H43" s="8" t="s">
        <v>19</v>
      </c>
      <c r="I43" s="1" t="s">
        <v>20</v>
      </c>
      <c r="J43" s="8" t="s">
        <v>21</v>
      </c>
      <c r="K43" s="1" t="s">
        <v>22</v>
      </c>
      <c r="L43" s="8">
        <v>200</v>
      </c>
      <c r="M43" s="3">
        <v>0</v>
      </c>
    </row>
    <row r="44" spans="1:13">
      <c r="A44" s="11">
        <v>38</v>
      </c>
      <c r="B44" s="8" t="s">
        <v>13</v>
      </c>
      <c r="C44" s="1" t="s">
        <v>14</v>
      </c>
      <c r="D44" s="1" t="s">
        <v>67</v>
      </c>
      <c r="E44" s="8" t="s">
        <v>23</v>
      </c>
      <c r="F44" s="1" t="s">
        <v>24</v>
      </c>
      <c r="G44" s="1" t="s">
        <v>25</v>
      </c>
      <c r="H44" s="8" t="s">
        <v>26</v>
      </c>
      <c r="I44" s="1" t="s">
        <v>27</v>
      </c>
      <c r="J44" s="8" t="s">
        <v>21</v>
      </c>
      <c r="K44" s="1" t="s">
        <v>28</v>
      </c>
      <c r="L44" s="8">
        <v>450</v>
      </c>
      <c r="M44" s="3">
        <v>0</v>
      </c>
    </row>
    <row r="45" spans="1:13">
      <c r="A45" s="11">
        <v>39</v>
      </c>
      <c r="B45" s="8" t="s">
        <v>13</v>
      </c>
      <c r="C45" s="1" t="s">
        <v>14</v>
      </c>
      <c r="D45" s="1" t="s">
        <v>67</v>
      </c>
      <c r="E45" s="8" t="s">
        <v>29</v>
      </c>
      <c r="F45" s="1" t="s">
        <v>30</v>
      </c>
      <c r="G45" s="1" t="s">
        <v>31</v>
      </c>
      <c r="H45" s="8" t="s">
        <v>32</v>
      </c>
      <c r="I45" s="1" t="s">
        <v>33</v>
      </c>
      <c r="J45" s="8" t="s">
        <v>21</v>
      </c>
      <c r="K45" s="1" t="s">
        <v>34</v>
      </c>
      <c r="L45" s="8">
        <v>300</v>
      </c>
      <c r="M45" s="3">
        <v>0</v>
      </c>
    </row>
    <row r="46" spans="1:13">
      <c r="A46" s="11">
        <v>40</v>
      </c>
      <c r="B46" s="8" t="s">
        <v>35</v>
      </c>
      <c r="C46" s="1" t="s">
        <v>36</v>
      </c>
      <c r="D46" s="1" t="s">
        <v>67</v>
      </c>
      <c r="E46" s="8" t="s">
        <v>16</v>
      </c>
      <c r="F46" s="1"/>
      <c r="G46" s="1" t="s">
        <v>18</v>
      </c>
      <c r="H46" s="8" t="s">
        <v>19</v>
      </c>
      <c r="I46" s="1" t="s">
        <v>37</v>
      </c>
      <c r="J46" s="8" t="s">
        <v>38</v>
      </c>
      <c r="K46" s="1" t="s">
        <v>39</v>
      </c>
      <c r="L46" s="8">
        <v>700</v>
      </c>
      <c r="M46" s="3">
        <v>0</v>
      </c>
    </row>
    <row r="47" spans="1:13">
      <c r="A47" s="11">
        <v>41</v>
      </c>
      <c r="B47" s="8" t="s">
        <v>35</v>
      </c>
      <c r="C47" s="1" t="s">
        <v>36</v>
      </c>
      <c r="D47" s="1" t="s">
        <v>67</v>
      </c>
      <c r="E47" s="8" t="s">
        <v>23</v>
      </c>
      <c r="F47" s="1" t="s">
        <v>24</v>
      </c>
      <c r="G47" s="1" t="s">
        <v>25</v>
      </c>
      <c r="H47" s="8" t="s">
        <v>26</v>
      </c>
      <c r="I47" s="1" t="s">
        <v>40</v>
      </c>
      <c r="J47" s="8" t="s">
        <v>38</v>
      </c>
      <c r="K47" s="1" t="s">
        <v>41</v>
      </c>
      <c r="L47" s="8">
        <v>1600</v>
      </c>
      <c r="M47" s="3">
        <v>0</v>
      </c>
    </row>
    <row r="48" spans="1:13">
      <c r="A48" s="11">
        <v>42</v>
      </c>
      <c r="B48" s="8" t="s">
        <v>35</v>
      </c>
      <c r="C48" s="1" t="s">
        <v>36</v>
      </c>
      <c r="D48" s="1" t="s">
        <v>67</v>
      </c>
      <c r="E48" s="8" t="s">
        <v>29</v>
      </c>
      <c r="F48" s="1" t="s">
        <v>30</v>
      </c>
      <c r="G48" s="1" t="s">
        <v>31</v>
      </c>
      <c r="H48" s="8" t="s">
        <v>32</v>
      </c>
      <c r="I48" s="1" t="s">
        <v>43</v>
      </c>
      <c r="J48" s="8" t="s">
        <v>38</v>
      </c>
      <c r="K48" s="1" t="s">
        <v>44</v>
      </c>
      <c r="L48" s="8">
        <v>1000</v>
      </c>
      <c r="M48" s="3">
        <v>0</v>
      </c>
    </row>
    <row r="49" spans="1:13">
      <c r="A49" s="11">
        <v>43</v>
      </c>
      <c r="B49" s="8" t="s">
        <v>45</v>
      </c>
      <c r="C49" s="1" t="s">
        <v>46</v>
      </c>
      <c r="D49" s="1" t="s">
        <v>67</v>
      </c>
      <c r="E49" s="8" t="s">
        <v>16</v>
      </c>
      <c r="F49" s="1" t="s">
        <v>17</v>
      </c>
      <c r="G49" s="1" t="s">
        <v>18</v>
      </c>
      <c r="H49" s="8" t="s">
        <v>47</v>
      </c>
      <c r="I49" s="1" t="s">
        <v>48</v>
      </c>
      <c r="J49" s="8" t="s">
        <v>49</v>
      </c>
      <c r="K49" s="1" t="s">
        <v>50</v>
      </c>
      <c r="L49" s="8">
        <v>160</v>
      </c>
      <c r="M49" s="3">
        <v>0</v>
      </c>
    </row>
    <row r="50" spans="1:13">
      <c r="A50" s="11">
        <v>43</v>
      </c>
      <c r="B50" s="8" t="s">
        <v>45</v>
      </c>
      <c r="C50" s="1" t="s">
        <v>46</v>
      </c>
      <c r="D50" s="1" t="s">
        <v>67</v>
      </c>
      <c r="E50" s="8" t="s">
        <v>16</v>
      </c>
      <c r="F50" s="1" t="s">
        <v>17</v>
      </c>
      <c r="G50" s="1" t="s">
        <v>18</v>
      </c>
      <c r="H50" s="8" t="s">
        <v>47</v>
      </c>
      <c r="I50" s="1" t="s">
        <v>48</v>
      </c>
      <c r="J50" s="8" t="s">
        <v>49</v>
      </c>
      <c r="K50" s="1" t="s">
        <v>50</v>
      </c>
      <c r="L50" s="8">
        <v>160</v>
      </c>
      <c r="M50" s="3">
        <v>0</v>
      </c>
    </row>
    <row r="51" spans="1:13">
      <c r="A51" s="11">
        <v>44</v>
      </c>
      <c r="B51" s="8" t="s">
        <v>45</v>
      </c>
      <c r="C51" s="1" t="s">
        <v>46</v>
      </c>
      <c r="D51" s="1" t="s">
        <v>67</v>
      </c>
      <c r="E51" s="8" t="s">
        <v>23</v>
      </c>
      <c r="F51" s="1" t="s">
        <v>24</v>
      </c>
      <c r="G51" s="1" t="s">
        <v>25</v>
      </c>
      <c r="H51" s="8" t="s">
        <v>26</v>
      </c>
      <c r="I51" s="1" t="s">
        <v>51</v>
      </c>
      <c r="J51" s="8" t="s">
        <v>49</v>
      </c>
      <c r="K51" s="1" t="s">
        <v>52</v>
      </c>
      <c r="L51" s="8">
        <v>280</v>
      </c>
      <c r="M51" s="3">
        <v>0</v>
      </c>
    </row>
    <row r="52" spans="1:13">
      <c r="A52" s="11">
        <v>45</v>
      </c>
      <c r="B52" s="8" t="s">
        <v>45</v>
      </c>
      <c r="C52" s="1" t="s">
        <v>46</v>
      </c>
      <c r="D52" s="1" t="s">
        <v>67</v>
      </c>
      <c r="E52" s="8" t="s">
        <v>29</v>
      </c>
      <c r="F52" s="1" t="s">
        <v>30</v>
      </c>
      <c r="G52" s="1" t="s">
        <v>31</v>
      </c>
      <c r="H52" s="8" t="s">
        <v>32</v>
      </c>
      <c r="I52" s="1" t="s">
        <v>53</v>
      </c>
      <c r="J52" s="8" t="s">
        <v>49</v>
      </c>
      <c r="K52" s="1" t="s">
        <v>54</v>
      </c>
      <c r="L52" s="8">
        <v>200</v>
      </c>
      <c r="M52" s="3">
        <v>0</v>
      </c>
    </row>
    <row r="53" spans="1:13">
      <c r="A53" s="11">
        <v>46</v>
      </c>
      <c r="B53" s="8" t="s">
        <v>55</v>
      </c>
      <c r="C53" s="1" t="s">
        <v>56</v>
      </c>
      <c r="D53" s="1" t="s">
        <v>67</v>
      </c>
      <c r="E53" s="8" t="s">
        <v>16</v>
      </c>
      <c r="F53" s="1" t="s">
        <v>17</v>
      </c>
      <c r="G53" s="1" t="s">
        <v>18</v>
      </c>
      <c r="H53" s="8" t="s">
        <v>19</v>
      </c>
      <c r="I53" s="1" t="s">
        <v>57</v>
      </c>
      <c r="J53" s="8" t="s">
        <v>58</v>
      </c>
      <c r="K53" s="1" t="s">
        <v>59</v>
      </c>
      <c r="L53" s="8">
        <v>130</v>
      </c>
      <c r="M53" s="3">
        <v>0</v>
      </c>
    </row>
    <row r="54" spans="1:13">
      <c r="A54" s="11">
        <v>47</v>
      </c>
      <c r="B54" s="8" t="s">
        <v>55</v>
      </c>
      <c r="C54" s="1" t="s">
        <v>56</v>
      </c>
      <c r="D54" s="1" t="s">
        <v>67</v>
      </c>
      <c r="E54" s="8" t="s">
        <v>23</v>
      </c>
      <c r="F54" s="1" t="s">
        <v>24</v>
      </c>
      <c r="G54" s="1" t="s">
        <v>25</v>
      </c>
      <c r="H54" s="8" t="s">
        <v>26</v>
      </c>
      <c r="I54" s="1" t="s">
        <v>61</v>
      </c>
      <c r="J54" s="8" t="s">
        <v>58</v>
      </c>
      <c r="K54" s="1" t="s">
        <v>62</v>
      </c>
      <c r="L54" s="8">
        <v>300</v>
      </c>
      <c r="M54" s="3">
        <v>0</v>
      </c>
    </row>
    <row r="55" spans="1:13">
      <c r="A55" s="11">
        <v>48</v>
      </c>
      <c r="B55" s="8" t="s">
        <v>55</v>
      </c>
      <c r="C55" s="1" t="s">
        <v>56</v>
      </c>
      <c r="D55" s="1" t="s">
        <v>67</v>
      </c>
      <c r="E55" s="8" t="s">
        <v>29</v>
      </c>
      <c r="F55" s="1"/>
      <c r="G55" s="1" t="s">
        <v>31</v>
      </c>
      <c r="H55" s="8" t="s">
        <v>42</v>
      </c>
      <c r="I55" s="1" t="s">
        <v>63</v>
      </c>
      <c r="J55" s="8" t="s">
        <v>58</v>
      </c>
      <c r="K55" s="1" t="s">
        <v>64</v>
      </c>
      <c r="L55" s="8">
        <v>230</v>
      </c>
      <c r="M55" s="3">
        <v>0</v>
      </c>
    </row>
    <row r="56" spans="1:13">
      <c r="A56" s="11">
        <v>49</v>
      </c>
      <c r="B56" s="8" t="s">
        <v>13</v>
      </c>
      <c r="C56" s="1" t="s">
        <v>14</v>
      </c>
      <c r="D56" s="1" t="s">
        <v>68</v>
      </c>
      <c r="E56" s="8" t="s">
        <v>16</v>
      </c>
      <c r="F56" s="1" t="s">
        <v>17</v>
      </c>
      <c r="G56" s="1" t="s">
        <v>18</v>
      </c>
      <c r="H56" s="8" t="s">
        <v>19</v>
      </c>
      <c r="I56" s="1" t="s">
        <v>20</v>
      </c>
      <c r="J56" s="8" t="s">
        <v>21</v>
      </c>
      <c r="K56" s="1" t="s">
        <v>22</v>
      </c>
      <c r="L56" s="8">
        <v>200</v>
      </c>
      <c r="M56" s="3">
        <v>0</v>
      </c>
    </row>
    <row r="57" spans="1:13">
      <c r="A57" s="11">
        <v>50</v>
      </c>
      <c r="B57" s="8" t="s">
        <v>13</v>
      </c>
      <c r="C57" s="1" t="s">
        <v>14</v>
      </c>
      <c r="D57" s="1" t="s">
        <v>68</v>
      </c>
      <c r="E57" s="8" t="s">
        <v>23</v>
      </c>
      <c r="F57" s="1" t="s">
        <v>24</v>
      </c>
      <c r="G57" s="1" t="s">
        <v>25</v>
      </c>
      <c r="H57" s="8" t="s">
        <v>26</v>
      </c>
      <c r="I57" s="1" t="s">
        <v>27</v>
      </c>
      <c r="J57" s="8" t="s">
        <v>21</v>
      </c>
      <c r="K57" s="1" t="s">
        <v>28</v>
      </c>
      <c r="L57" s="8">
        <v>450</v>
      </c>
      <c r="M57" s="3">
        <v>0</v>
      </c>
    </row>
    <row r="58" spans="1:13">
      <c r="A58" s="11">
        <v>51</v>
      </c>
      <c r="B58" s="8" t="s">
        <v>13</v>
      </c>
      <c r="C58" s="1" t="s">
        <v>14</v>
      </c>
      <c r="D58" s="1" t="s">
        <v>68</v>
      </c>
      <c r="E58" s="8" t="s">
        <v>29</v>
      </c>
      <c r="F58" s="1" t="s">
        <v>30</v>
      </c>
      <c r="G58" s="1" t="s">
        <v>31</v>
      </c>
      <c r="H58" s="8" t="s">
        <v>32</v>
      </c>
      <c r="I58" s="1" t="s">
        <v>33</v>
      </c>
      <c r="J58" s="8" t="s">
        <v>21</v>
      </c>
      <c r="K58" s="1" t="s">
        <v>34</v>
      </c>
      <c r="L58" s="8">
        <v>350</v>
      </c>
      <c r="M58" s="3">
        <v>0</v>
      </c>
    </row>
    <row r="59" spans="1:13">
      <c r="A59" s="11">
        <v>52</v>
      </c>
      <c r="B59" s="8" t="s">
        <v>35</v>
      </c>
      <c r="C59" s="1" t="s">
        <v>36</v>
      </c>
      <c r="D59" s="1" t="s">
        <v>68</v>
      </c>
      <c r="E59" s="8" t="s">
        <v>16</v>
      </c>
      <c r="F59" s="1" t="s">
        <v>17</v>
      </c>
      <c r="G59" s="1" t="s">
        <v>18</v>
      </c>
      <c r="H59" s="8" t="s">
        <v>47</v>
      </c>
      <c r="I59" s="1" t="s">
        <v>37</v>
      </c>
      <c r="J59" s="8" t="s">
        <v>38</v>
      </c>
      <c r="K59" s="1" t="s">
        <v>39</v>
      </c>
      <c r="L59" s="8">
        <v>700</v>
      </c>
      <c r="M59" s="3">
        <v>0</v>
      </c>
    </row>
    <row r="60" spans="1:13">
      <c r="A60" s="11">
        <v>53</v>
      </c>
      <c r="B60" s="8" t="s">
        <v>35</v>
      </c>
      <c r="C60" s="1" t="s">
        <v>36</v>
      </c>
      <c r="D60" s="1" t="s">
        <v>68</v>
      </c>
      <c r="E60" s="8" t="s">
        <v>23</v>
      </c>
      <c r="F60" s="1" t="s">
        <v>24</v>
      </c>
      <c r="G60" s="1" t="s">
        <v>25</v>
      </c>
      <c r="H60" s="8" t="s">
        <v>26</v>
      </c>
      <c r="I60" s="1" t="s">
        <v>40</v>
      </c>
      <c r="J60" s="8" t="s">
        <v>38</v>
      </c>
      <c r="K60" s="1" t="s">
        <v>41</v>
      </c>
      <c r="L60" s="8">
        <v>1600</v>
      </c>
      <c r="M60" s="3">
        <v>0</v>
      </c>
    </row>
    <row r="61" spans="1:13">
      <c r="A61" s="11">
        <v>53</v>
      </c>
      <c r="B61" s="8" t="s">
        <v>35</v>
      </c>
      <c r="C61" s="1" t="s">
        <v>36</v>
      </c>
      <c r="D61" s="1" t="s">
        <v>68</v>
      </c>
      <c r="E61" s="8" t="s">
        <v>23</v>
      </c>
      <c r="F61" s="1" t="s">
        <v>24</v>
      </c>
      <c r="G61" s="1" t="s">
        <v>25</v>
      </c>
      <c r="H61" s="8" t="s">
        <v>26</v>
      </c>
      <c r="I61" s="1" t="s">
        <v>40</v>
      </c>
      <c r="J61" s="8" t="s">
        <v>38</v>
      </c>
      <c r="K61" s="1" t="s">
        <v>41</v>
      </c>
      <c r="L61" s="8">
        <v>1600</v>
      </c>
      <c r="M61" s="3">
        <v>0</v>
      </c>
    </row>
    <row r="62" spans="1:13">
      <c r="A62" s="11">
        <v>54</v>
      </c>
      <c r="B62" s="8" t="s">
        <v>35</v>
      </c>
      <c r="C62" s="1" t="s">
        <v>36</v>
      </c>
      <c r="D62" s="1" t="s">
        <v>68</v>
      </c>
      <c r="E62" s="8" t="s">
        <v>29</v>
      </c>
      <c r="F62" s="1" t="s">
        <v>30</v>
      </c>
      <c r="G62" s="1" t="s">
        <v>31</v>
      </c>
      <c r="H62" s="8" t="s">
        <v>32</v>
      </c>
      <c r="I62" s="1" t="s">
        <v>43</v>
      </c>
      <c r="J62" s="8" t="s">
        <v>38</v>
      </c>
      <c r="K62" s="1" t="s">
        <v>44</v>
      </c>
      <c r="L62" s="8">
        <v>1000</v>
      </c>
      <c r="M62" s="3">
        <v>0</v>
      </c>
    </row>
    <row r="63" spans="1:13">
      <c r="A63" s="11">
        <v>55</v>
      </c>
      <c r="B63" s="8" t="s">
        <v>45</v>
      </c>
      <c r="C63" s="1" t="s">
        <v>46</v>
      </c>
      <c r="D63" s="1" t="s">
        <v>68</v>
      </c>
      <c r="E63" s="8" t="s">
        <v>16</v>
      </c>
      <c r="F63" s="1" t="s">
        <v>17</v>
      </c>
      <c r="G63" s="1" t="s">
        <v>18</v>
      </c>
      <c r="H63" s="8" t="s">
        <v>19</v>
      </c>
      <c r="I63" s="1" t="s">
        <v>48</v>
      </c>
      <c r="J63" s="8" t="s">
        <v>49</v>
      </c>
      <c r="K63" s="1" t="s">
        <v>50</v>
      </c>
      <c r="L63" s="8">
        <v>180</v>
      </c>
      <c r="M63" s="3">
        <v>0</v>
      </c>
    </row>
    <row r="64" spans="1:13">
      <c r="A64" s="11">
        <v>56</v>
      </c>
      <c r="B64" s="8" t="s">
        <v>45</v>
      </c>
      <c r="C64" s="1" t="s">
        <v>46</v>
      </c>
      <c r="D64" s="1" t="s">
        <v>68</v>
      </c>
      <c r="E64" s="8" t="s">
        <v>23</v>
      </c>
      <c r="F64" s="1" t="s">
        <v>24</v>
      </c>
      <c r="G64" s="1" t="s">
        <v>25</v>
      </c>
      <c r="H64" s="8" t="s">
        <v>26</v>
      </c>
      <c r="I64" s="1" t="s">
        <v>51</v>
      </c>
      <c r="J64" s="8" t="s">
        <v>49</v>
      </c>
      <c r="K64" s="1" t="s">
        <v>52</v>
      </c>
      <c r="L64" s="8">
        <v>320</v>
      </c>
      <c r="M64" s="3">
        <v>0</v>
      </c>
    </row>
    <row r="65" spans="1:13">
      <c r="A65" s="11">
        <v>57</v>
      </c>
      <c r="B65" s="8" t="s">
        <v>45</v>
      </c>
      <c r="C65" s="1" t="s">
        <v>46</v>
      </c>
      <c r="D65" s="1" t="s">
        <v>68</v>
      </c>
      <c r="E65" s="8" t="s">
        <v>29</v>
      </c>
      <c r="F65" s="1" t="s">
        <v>30</v>
      </c>
      <c r="G65" s="1" t="s">
        <v>31</v>
      </c>
      <c r="H65" s="8" t="s">
        <v>32</v>
      </c>
      <c r="I65" s="1" t="s">
        <v>53</v>
      </c>
      <c r="J65" s="8" t="s">
        <v>49</v>
      </c>
      <c r="K65" s="1" t="s">
        <v>54</v>
      </c>
      <c r="L65" s="8">
        <v>220</v>
      </c>
      <c r="M65" s="3">
        <v>0</v>
      </c>
    </row>
    <row r="66" spans="1:13">
      <c r="A66" s="11">
        <v>58</v>
      </c>
      <c r="B66" s="8" t="s">
        <v>55</v>
      </c>
      <c r="C66" s="1" t="s">
        <v>56</v>
      </c>
      <c r="D66" s="1" t="s">
        <v>68</v>
      </c>
      <c r="E66" s="8" t="s">
        <v>16</v>
      </c>
      <c r="F66" s="1" t="s">
        <v>17</v>
      </c>
      <c r="G66" s="1" t="s">
        <v>18</v>
      </c>
      <c r="H66" s="8" t="s">
        <v>19</v>
      </c>
      <c r="I66" s="1" t="s">
        <v>57</v>
      </c>
      <c r="J66" s="8" t="s">
        <v>58</v>
      </c>
      <c r="K66" s="1" t="s">
        <v>59</v>
      </c>
      <c r="L66" s="8">
        <v>140</v>
      </c>
      <c r="M66" s="3">
        <v>0</v>
      </c>
    </row>
    <row r="67" spans="1:13">
      <c r="A67" s="11">
        <v>59</v>
      </c>
      <c r="B67" s="8" t="s">
        <v>55</v>
      </c>
      <c r="C67" s="1" t="s">
        <v>56</v>
      </c>
      <c r="D67" s="1" t="s">
        <v>68</v>
      </c>
      <c r="E67" s="8" t="s">
        <v>23</v>
      </c>
      <c r="F67" s="1" t="s">
        <v>24</v>
      </c>
      <c r="G67" s="1" t="s">
        <v>25</v>
      </c>
      <c r="H67" s="8" t="s">
        <v>60</v>
      </c>
      <c r="I67" s="1" t="s">
        <v>61</v>
      </c>
      <c r="J67" s="8" t="s">
        <v>58</v>
      </c>
      <c r="K67" s="1" t="s">
        <v>62</v>
      </c>
      <c r="L67" s="8">
        <v>300</v>
      </c>
      <c r="M67" s="3">
        <v>0</v>
      </c>
    </row>
    <row r="68" spans="1:13">
      <c r="A68" s="11">
        <v>60</v>
      </c>
      <c r="B68" s="8" t="s">
        <v>55</v>
      </c>
      <c r="C68" s="1" t="s">
        <v>56</v>
      </c>
      <c r="D68" s="1" t="s">
        <v>68</v>
      </c>
      <c r="E68" s="8" t="s">
        <v>29</v>
      </c>
      <c r="F68" s="1" t="s">
        <v>30</v>
      </c>
      <c r="G68" s="1" t="s">
        <v>31</v>
      </c>
      <c r="H68" s="8" t="s">
        <v>32</v>
      </c>
      <c r="I68" s="1" t="s">
        <v>63</v>
      </c>
      <c r="J68" s="8" t="s">
        <v>58</v>
      </c>
      <c r="K68" s="1" t="s">
        <v>64</v>
      </c>
      <c r="L68" s="8">
        <v>280</v>
      </c>
      <c r="M68" s="3">
        <v>0</v>
      </c>
    </row>
    <row r="69" spans="1:13">
      <c r="A69" s="11">
        <v>61</v>
      </c>
      <c r="B69" s="8" t="s">
        <v>13</v>
      </c>
      <c r="C69" s="1" t="s">
        <v>14</v>
      </c>
      <c r="D69" s="1" t="s">
        <v>69</v>
      </c>
      <c r="E69" s="8" t="s">
        <v>16</v>
      </c>
      <c r="F69" s="1" t="s">
        <v>17</v>
      </c>
      <c r="G69" s="1" t="s">
        <v>18</v>
      </c>
      <c r="H69" s="8" t="s">
        <v>19</v>
      </c>
      <c r="I69" s="1" t="s">
        <v>20</v>
      </c>
      <c r="J69" s="8" t="s">
        <v>21</v>
      </c>
      <c r="K69" s="1" t="s">
        <v>22</v>
      </c>
      <c r="L69" s="8">
        <v>250</v>
      </c>
      <c r="M69" s="3">
        <v>0</v>
      </c>
    </row>
    <row r="70" spans="1:13">
      <c r="A70" s="11">
        <v>62</v>
      </c>
      <c r="B70" s="8" t="s">
        <v>13</v>
      </c>
      <c r="C70" s="1" t="s">
        <v>14</v>
      </c>
      <c r="D70" s="1" t="s">
        <v>69</v>
      </c>
      <c r="E70" s="8" t="s">
        <v>23</v>
      </c>
      <c r="F70" s="1" t="s">
        <v>24</v>
      </c>
      <c r="G70" s="1" t="s">
        <v>25</v>
      </c>
      <c r="H70" s="8" t="s">
        <v>26</v>
      </c>
      <c r="I70" s="1" t="s">
        <v>27</v>
      </c>
      <c r="J70" s="8" t="s">
        <v>21</v>
      </c>
      <c r="K70" s="1" t="s">
        <v>28</v>
      </c>
      <c r="L70" s="8">
        <v>500</v>
      </c>
      <c r="M70" s="3">
        <v>0</v>
      </c>
    </row>
    <row r="71" spans="1:13">
      <c r="A71" s="11">
        <v>63</v>
      </c>
      <c r="B71" s="8" t="s">
        <v>13</v>
      </c>
      <c r="C71" s="1" t="s">
        <v>14</v>
      </c>
      <c r="D71" s="1" t="s">
        <v>69</v>
      </c>
      <c r="E71" s="8" t="s">
        <v>29</v>
      </c>
      <c r="F71" s="1"/>
      <c r="G71" s="1" t="s">
        <v>31</v>
      </c>
      <c r="H71" s="8" t="s">
        <v>32</v>
      </c>
      <c r="I71" s="1" t="s">
        <v>33</v>
      </c>
      <c r="J71" s="8" t="s">
        <v>21</v>
      </c>
      <c r="K71" s="1" t="s">
        <v>34</v>
      </c>
      <c r="L71" s="8">
        <v>400</v>
      </c>
      <c r="M71" s="3">
        <v>0</v>
      </c>
    </row>
    <row r="72" spans="1:13">
      <c r="A72" s="11">
        <v>64</v>
      </c>
      <c r="B72" s="8" t="s">
        <v>35</v>
      </c>
      <c r="C72" s="1" t="s">
        <v>36</v>
      </c>
      <c r="D72" s="1" t="s">
        <v>69</v>
      </c>
      <c r="E72" s="8" t="s">
        <v>16</v>
      </c>
      <c r="F72" s="1" t="s">
        <v>17</v>
      </c>
      <c r="G72" s="1" t="s">
        <v>18</v>
      </c>
      <c r="H72" s="8" t="s">
        <v>19</v>
      </c>
      <c r="I72" s="1" t="s">
        <v>37</v>
      </c>
      <c r="J72" s="8" t="s">
        <v>38</v>
      </c>
      <c r="K72" s="1" t="s">
        <v>39</v>
      </c>
      <c r="L72" s="8">
        <v>800</v>
      </c>
      <c r="M72" s="3">
        <v>0</v>
      </c>
    </row>
    <row r="73" spans="1:13">
      <c r="A73" s="11">
        <v>65</v>
      </c>
      <c r="B73" s="8" t="s">
        <v>35</v>
      </c>
      <c r="C73" s="1" t="s">
        <v>36</v>
      </c>
      <c r="D73" s="1" t="s">
        <v>69</v>
      </c>
      <c r="E73" s="8" t="s">
        <v>23</v>
      </c>
      <c r="F73" s="1" t="s">
        <v>24</v>
      </c>
      <c r="G73" s="1" t="s">
        <v>25</v>
      </c>
      <c r="H73" s="8" t="s">
        <v>26</v>
      </c>
      <c r="I73" s="1" t="s">
        <v>40</v>
      </c>
      <c r="J73" s="8" t="s">
        <v>38</v>
      </c>
      <c r="K73" s="1" t="s">
        <v>41</v>
      </c>
      <c r="L73" s="8">
        <v>1900</v>
      </c>
      <c r="M73" s="3">
        <v>0</v>
      </c>
    </row>
    <row r="74" spans="1:13">
      <c r="A74" s="11">
        <v>66</v>
      </c>
      <c r="B74" s="8" t="s">
        <v>35</v>
      </c>
      <c r="C74" s="1" t="s">
        <v>36</v>
      </c>
      <c r="D74" s="1" t="s">
        <v>69</v>
      </c>
      <c r="E74" s="8" t="s">
        <v>29</v>
      </c>
      <c r="F74" s="1" t="s">
        <v>30</v>
      </c>
      <c r="G74" s="1" t="s">
        <v>31</v>
      </c>
      <c r="H74" s="8" t="s">
        <v>32</v>
      </c>
      <c r="I74" s="1" t="s">
        <v>43</v>
      </c>
      <c r="J74" s="8" t="s">
        <v>38</v>
      </c>
      <c r="K74" s="1" t="s">
        <v>44</v>
      </c>
      <c r="L74" s="8">
        <v>1200</v>
      </c>
      <c r="M74" s="3">
        <v>0</v>
      </c>
    </row>
    <row r="75" spans="1:13">
      <c r="A75" s="11">
        <v>67</v>
      </c>
      <c r="B75" s="8" t="s">
        <v>45</v>
      </c>
      <c r="C75" s="1" t="s">
        <v>46</v>
      </c>
      <c r="D75" s="1" t="s">
        <v>69</v>
      </c>
      <c r="E75" s="8" t="s">
        <v>16</v>
      </c>
      <c r="F75" s="1" t="s">
        <v>17</v>
      </c>
      <c r="G75" s="1" t="s">
        <v>18</v>
      </c>
      <c r="H75" s="8" t="s">
        <v>19</v>
      </c>
      <c r="I75" s="1" t="s">
        <v>48</v>
      </c>
      <c r="J75" s="8" t="s">
        <v>49</v>
      </c>
      <c r="K75" s="1" t="s">
        <v>50</v>
      </c>
      <c r="L75" s="8">
        <v>200</v>
      </c>
      <c r="M75" s="3">
        <v>0</v>
      </c>
    </row>
    <row r="76" spans="1:13">
      <c r="A76" s="11">
        <v>68</v>
      </c>
      <c r="B76" s="8" t="s">
        <v>45</v>
      </c>
      <c r="C76" s="1" t="s">
        <v>46</v>
      </c>
      <c r="D76" s="1" t="s">
        <v>69</v>
      </c>
      <c r="E76" s="8" t="s">
        <v>23</v>
      </c>
      <c r="F76" s="1" t="s">
        <v>24</v>
      </c>
      <c r="G76" s="1" t="s">
        <v>25</v>
      </c>
      <c r="H76" s="8" t="s">
        <v>60</v>
      </c>
      <c r="I76" s="1" t="s">
        <v>51</v>
      </c>
      <c r="J76" s="8" t="s">
        <v>49</v>
      </c>
      <c r="K76" s="1" t="s">
        <v>52</v>
      </c>
      <c r="L76" s="8">
        <v>350</v>
      </c>
      <c r="M76" s="3">
        <v>0</v>
      </c>
    </row>
    <row r="77" spans="1:13">
      <c r="A77" s="11">
        <v>69</v>
      </c>
      <c r="B77" s="8" t="s">
        <v>45</v>
      </c>
      <c r="C77" s="1" t="s">
        <v>46</v>
      </c>
      <c r="D77" s="1" t="s">
        <v>69</v>
      </c>
      <c r="E77" s="8" t="s">
        <v>29</v>
      </c>
      <c r="F77" s="1" t="s">
        <v>30</v>
      </c>
      <c r="G77" s="1" t="s">
        <v>31</v>
      </c>
      <c r="H77" s="8" t="s">
        <v>42</v>
      </c>
      <c r="I77" s="1" t="s">
        <v>53</v>
      </c>
      <c r="J77" s="8" t="s">
        <v>49</v>
      </c>
      <c r="K77" s="1" t="s">
        <v>54</v>
      </c>
      <c r="L77" s="8">
        <v>250</v>
      </c>
      <c r="M77" s="3">
        <v>0</v>
      </c>
    </row>
    <row r="78" spans="1:13">
      <c r="A78" s="11">
        <v>70</v>
      </c>
      <c r="B78" s="8" t="s">
        <v>55</v>
      </c>
      <c r="C78" s="1" t="s">
        <v>56</v>
      </c>
      <c r="D78" s="1" t="s">
        <v>69</v>
      </c>
      <c r="E78" s="8" t="s">
        <v>16</v>
      </c>
      <c r="F78" s="1"/>
      <c r="G78" s="1" t="s">
        <v>18</v>
      </c>
      <c r="H78" s="8" t="s">
        <v>19</v>
      </c>
      <c r="I78" s="1" t="s">
        <v>57</v>
      </c>
      <c r="J78" s="8" t="s">
        <v>58</v>
      </c>
      <c r="K78" s="1" t="s">
        <v>59</v>
      </c>
      <c r="L78" s="8">
        <v>150</v>
      </c>
      <c r="M78" s="3">
        <v>0</v>
      </c>
    </row>
    <row r="79" spans="1:13">
      <c r="A79" s="11">
        <v>70</v>
      </c>
      <c r="B79" s="8" t="s">
        <v>55</v>
      </c>
      <c r="C79" s="1" t="s">
        <v>56</v>
      </c>
      <c r="D79" s="1" t="s">
        <v>69</v>
      </c>
      <c r="E79" s="8" t="s">
        <v>16</v>
      </c>
      <c r="F79" s="1"/>
      <c r="G79" s="1" t="s">
        <v>18</v>
      </c>
      <c r="H79" s="8" t="s">
        <v>19</v>
      </c>
      <c r="I79" s="1" t="s">
        <v>57</v>
      </c>
      <c r="J79" s="8" t="s">
        <v>58</v>
      </c>
      <c r="K79" s="1" t="s">
        <v>59</v>
      </c>
      <c r="L79" s="8">
        <v>150</v>
      </c>
      <c r="M79" s="3">
        <v>0</v>
      </c>
    </row>
    <row r="80" spans="1:13">
      <c r="A80" s="11">
        <v>71</v>
      </c>
      <c r="B80" s="8" t="s">
        <v>55</v>
      </c>
      <c r="C80" s="1" t="s">
        <v>56</v>
      </c>
      <c r="D80" s="1" t="s">
        <v>69</v>
      </c>
      <c r="E80" s="8" t="s">
        <v>23</v>
      </c>
      <c r="F80" s="1" t="s">
        <v>24</v>
      </c>
      <c r="G80" s="1" t="s">
        <v>25</v>
      </c>
      <c r="H80" s="8" t="s">
        <v>26</v>
      </c>
      <c r="I80" s="1" t="s">
        <v>61</v>
      </c>
      <c r="J80" s="8" t="s">
        <v>58</v>
      </c>
      <c r="K80" s="1" t="s">
        <v>62</v>
      </c>
      <c r="L80" s="8">
        <v>350</v>
      </c>
      <c r="M80" s="3">
        <v>0</v>
      </c>
    </row>
    <row r="81" spans="1:13">
      <c r="A81" s="11">
        <v>72</v>
      </c>
      <c r="B81" s="8" t="s">
        <v>55</v>
      </c>
      <c r="C81" s="1" t="s">
        <v>56</v>
      </c>
      <c r="D81" s="1" t="s">
        <v>69</v>
      </c>
      <c r="E81" s="8" t="s">
        <v>29</v>
      </c>
      <c r="F81" s="1" t="s">
        <v>30</v>
      </c>
      <c r="G81" s="1" t="s">
        <v>31</v>
      </c>
      <c r="H81" s="8" t="s">
        <v>32</v>
      </c>
      <c r="I81" s="1" t="s">
        <v>63</v>
      </c>
      <c r="J81" s="8" t="s">
        <v>58</v>
      </c>
      <c r="K81" s="1" t="s">
        <v>64</v>
      </c>
      <c r="L81" s="8">
        <v>300</v>
      </c>
      <c r="M81" s="3">
        <v>0</v>
      </c>
    </row>
    <row r="82" spans="1:13">
      <c r="A82" s="11">
        <v>72</v>
      </c>
      <c r="B82" s="8" t="s">
        <v>55</v>
      </c>
      <c r="C82" s="1" t="s">
        <v>56</v>
      </c>
      <c r="D82" s="1" t="s">
        <v>69</v>
      </c>
      <c r="E82" s="8" t="s">
        <v>29</v>
      </c>
      <c r="F82" s="1" t="s">
        <v>30</v>
      </c>
      <c r="G82" s="1" t="s">
        <v>31</v>
      </c>
      <c r="H82" s="8" t="s">
        <v>32</v>
      </c>
      <c r="I82" s="1" t="s">
        <v>63</v>
      </c>
      <c r="J82" s="8" t="s">
        <v>58</v>
      </c>
      <c r="K82" s="1" t="s">
        <v>64</v>
      </c>
      <c r="L82" s="8">
        <v>300</v>
      </c>
      <c r="M82" s="3">
        <v>0</v>
      </c>
    </row>
    <row r="83" spans="1:13">
      <c r="A83" s="11">
        <v>73</v>
      </c>
      <c r="B83" s="8" t="s">
        <v>13</v>
      </c>
      <c r="C83" s="1" t="s">
        <v>14</v>
      </c>
      <c r="D83" s="1" t="s">
        <v>70</v>
      </c>
      <c r="E83" s="8" t="s">
        <v>16</v>
      </c>
      <c r="F83" s="1" t="s">
        <v>17</v>
      </c>
      <c r="G83" s="1" t="s">
        <v>18</v>
      </c>
      <c r="H83" s="8" t="s">
        <v>19</v>
      </c>
      <c r="I83" s="1" t="s">
        <v>20</v>
      </c>
      <c r="J83" s="8" t="s">
        <v>21</v>
      </c>
      <c r="K83" s="1" t="s">
        <v>22</v>
      </c>
      <c r="L83" s="8">
        <v>250</v>
      </c>
      <c r="M83" s="3">
        <v>0</v>
      </c>
    </row>
    <row r="84" spans="1:13">
      <c r="A84" s="11">
        <v>74</v>
      </c>
      <c r="B84" s="8" t="s">
        <v>13</v>
      </c>
      <c r="C84" s="1" t="s">
        <v>14</v>
      </c>
      <c r="D84" s="1" t="s">
        <v>70</v>
      </c>
      <c r="E84" s="8" t="s">
        <v>23</v>
      </c>
      <c r="F84" s="1" t="s">
        <v>24</v>
      </c>
      <c r="G84" s="1" t="s">
        <v>25</v>
      </c>
      <c r="H84" s="8" t="s">
        <v>26</v>
      </c>
      <c r="I84" s="1" t="s">
        <v>27</v>
      </c>
      <c r="J84" s="8" t="s">
        <v>21</v>
      </c>
      <c r="K84" s="1" t="s">
        <v>28</v>
      </c>
      <c r="L84" s="8">
        <v>500</v>
      </c>
      <c r="M84" s="3">
        <v>0</v>
      </c>
    </row>
    <row r="85" spans="1:13">
      <c r="A85" s="11">
        <v>75</v>
      </c>
      <c r="B85" s="8" t="s">
        <v>13</v>
      </c>
      <c r="C85" s="1" t="s">
        <v>14</v>
      </c>
      <c r="D85" s="1" t="s">
        <v>70</v>
      </c>
      <c r="E85" s="8" t="s">
        <v>29</v>
      </c>
      <c r="F85" s="1" t="s">
        <v>30</v>
      </c>
      <c r="G85" s="1" t="s">
        <v>31</v>
      </c>
      <c r="H85" s="8" t="s">
        <v>32</v>
      </c>
      <c r="I85" s="1" t="s">
        <v>33</v>
      </c>
      <c r="J85" s="8" t="s">
        <v>21</v>
      </c>
      <c r="K85" s="1" t="s">
        <v>34</v>
      </c>
      <c r="L85" s="8">
        <v>400</v>
      </c>
      <c r="M85" s="3">
        <v>0</v>
      </c>
    </row>
    <row r="86" spans="1:13">
      <c r="A86" s="11">
        <v>76</v>
      </c>
      <c r="B86" s="8" t="s">
        <v>35</v>
      </c>
      <c r="C86" s="1" t="s">
        <v>36</v>
      </c>
      <c r="D86" s="1" t="s">
        <v>70</v>
      </c>
      <c r="E86" s="8" t="s">
        <v>16</v>
      </c>
      <c r="F86" s="1" t="s">
        <v>17</v>
      </c>
      <c r="G86" s="1" t="s">
        <v>18</v>
      </c>
      <c r="H86" s="8" t="s">
        <v>47</v>
      </c>
      <c r="I86" s="1" t="s">
        <v>37</v>
      </c>
      <c r="J86" s="8" t="s">
        <v>38</v>
      </c>
      <c r="K86" s="1" t="s">
        <v>39</v>
      </c>
      <c r="L86" s="8">
        <v>800</v>
      </c>
      <c r="M86" s="3">
        <v>0</v>
      </c>
    </row>
    <row r="87" spans="1:13">
      <c r="A87" s="11">
        <v>77</v>
      </c>
      <c r="B87" s="8" t="s">
        <v>35</v>
      </c>
      <c r="C87" s="1" t="s">
        <v>36</v>
      </c>
      <c r="D87" s="1" t="s">
        <v>70</v>
      </c>
      <c r="E87" s="8" t="s">
        <v>23</v>
      </c>
      <c r="F87" s="1" t="s">
        <v>24</v>
      </c>
      <c r="G87" s="1" t="s">
        <v>25</v>
      </c>
      <c r="H87" s="8" t="s">
        <v>26</v>
      </c>
      <c r="I87" s="1" t="s">
        <v>40</v>
      </c>
      <c r="J87" s="8" t="s">
        <v>38</v>
      </c>
      <c r="K87" s="1" t="s">
        <v>41</v>
      </c>
      <c r="L87" s="8">
        <v>1800</v>
      </c>
      <c r="M87" s="3">
        <v>0</v>
      </c>
    </row>
    <row r="88" spans="1:13">
      <c r="A88" s="11">
        <v>78</v>
      </c>
      <c r="B88" s="8" t="s">
        <v>35</v>
      </c>
      <c r="C88" s="1" t="s">
        <v>36</v>
      </c>
      <c r="D88" s="1" t="s">
        <v>70</v>
      </c>
      <c r="E88" s="8" t="s">
        <v>29</v>
      </c>
      <c r="F88" s="1" t="s">
        <v>30</v>
      </c>
      <c r="G88" s="1" t="s">
        <v>31</v>
      </c>
      <c r="H88" s="8" t="s">
        <v>32</v>
      </c>
      <c r="I88" s="1" t="s">
        <v>43</v>
      </c>
      <c r="J88" s="8" t="s">
        <v>38</v>
      </c>
      <c r="K88" s="1" t="s">
        <v>44</v>
      </c>
      <c r="L88" s="8">
        <v>1200</v>
      </c>
      <c r="M88" s="3">
        <v>0</v>
      </c>
    </row>
    <row r="89" spans="1:13">
      <c r="A89" s="11">
        <v>79</v>
      </c>
      <c r="B89" s="8" t="s">
        <v>45</v>
      </c>
      <c r="C89" s="1" t="s">
        <v>46</v>
      </c>
      <c r="D89" s="1" t="s">
        <v>70</v>
      </c>
      <c r="E89" s="8" t="s">
        <v>16</v>
      </c>
      <c r="F89" s="1" t="s">
        <v>17</v>
      </c>
      <c r="G89" s="1" t="s">
        <v>18</v>
      </c>
      <c r="H89" s="8" t="s">
        <v>19</v>
      </c>
      <c r="I89" s="1" t="s">
        <v>48</v>
      </c>
      <c r="J89" s="8" t="s">
        <v>49</v>
      </c>
      <c r="K89" s="1" t="s">
        <v>50</v>
      </c>
      <c r="L89" s="8">
        <v>200</v>
      </c>
      <c r="M89" s="3">
        <v>0</v>
      </c>
    </row>
    <row r="90" spans="1:13">
      <c r="A90" s="11">
        <v>80</v>
      </c>
      <c r="B90" s="8" t="s">
        <v>45</v>
      </c>
      <c r="C90" s="1" t="s">
        <v>46</v>
      </c>
      <c r="D90" s="1" t="s">
        <v>70</v>
      </c>
      <c r="E90" s="8" t="s">
        <v>23</v>
      </c>
      <c r="F90" s="1" t="s">
        <v>24</v>
      </c>
      <c r="G90" s="1" t="s">
        <v>25</v>
      </c>
      <c r="H90" s="8" t="s">
        <v>26</v>
      </c>
      <c r="I90" s="1" t="s">
        <v>51</v>
      </c>
      <c r="J90" s="8" t="s">
        <v>49</v>
      </c>
      <c r="K90" s="1" t="s">
        <v>52</v>
      </c>
      <c r="L90" s="8">
        <v>350</v>
      </c>
      <c r="M90" s="3">
        <v>0</v>
      </c>
    </row>
    <row r="91" spans="1:13">
      <c r="A91" s="11">
        <v>81</v>
      </c>
      <c r="B91" s="8" t="s">
        <v>45</v>
      </c>
      <c r="C91" s="1" t="s">
        <v>46</v>
      </c>
      <c r="D91" s="1" t="s">
        <v>70</v>
      </c>
      <c r="E91" s="8" t="s">
        <v>29</v>
      </c>
      <c r="F91" s="1" t="s">
        <v>30</v>
      </c>
      <c r="G91" s="1" t="s">
        <v>31</v>
      </c>
      <c r="H91" s="8" t="s">
        <v>32</v>
      </c>
      <c r="I91" s="1" t="s">
        <v>53</v>
      </c>
      <c r="J91" s="8" t="s">
        <v>49</v>
      </c>
      <c r="K91" s="1" t="s">
        <v>54</v>
      </c>
      <c r="L91" s="8">
        <v>250</v>
      </c>
      <c r="M91" s="3">
        <v>0</v>
      </c>
    </row>
    <row r="92" spans="1:13">
      <c r="A92" s="11">
        <v>82</v>
      </c>
      <c r="B92" s="8" t="s">
        <v>55</v>
      </c>
      <c r="C92" s="1" t="s">
        <v>56</v>
      </c>
      <c r="D92" s="1" t="s">
        <v>70</v>
      </c>
      <c r="E92" s="8" t="s">
        <v>16</v>
      </c>
      <c r="F92" s="1" t="s">
        <v>17</v>
      </c>
      <c r="G92" s="1" t="s">
        <v>18</v>
      </c>
      <c r="H92" s="8" t="s">
        <v>19</v>
      </c>
      <c r="I92" s="1" t="s">
        <v>57</v>
      </c>
      <c r="J92" s="8" t="s">
        <v>58</v>
      </c>
      <c r="K92" s="1" t="s">
        <v>59</v>
      </c>
      <c r="L92" s="8">
        <v>160</v>
      </c>
      <c r="M92" s="3">
        <v>0</v>
      </c>
    </row>
    <row r="93" spans="1:13">
      <c r="A93" s="11">
        <v>83</v>
      </c>
      <c r="B93" s="8" t="s">
        <v>55</v>
      </c>
      <c r="C93" s="1" t="s">
        <v>56</v>
      </c>
      <c r="D93" s="1" t="s">
        <v>70</v>
      </c>
      <c r="E93" s="8" t="s">
        <v>23</v>
      </c>
      <c r="F93" s="1" t="s">
        <v>24</v>
      </c>
      <c r="G93" s="1" t="s">
        <v>25</v>
      </c>
      <c r="H93" s="8" t="s">
        <v>26</v>
      </c>
      <c r="I93" s="1" t="s">
        <v>61</v>
      </c>
      <c r="J93" s="8" t="s">
        <v>58</v>
      </c>
      <c r="K93" s="1" t="s">
        <v>62</v>
      </c>
      <c r="L93" s="8">
        <v>320</v>
      </c>
      <c r="M93" s="3">
        <v>0</v>
      </c>
    </row>
    <row r="94" spans="1:13">
      <c r="A94" s="11">
        <v>84</v>
      </c>
      <c r="B94" s="8" t="s">
        <v>55</v>
      </c>
      <c r="C94" s="1" t="s">
        <v>56</v>
      </c>
      <c r="D94" s="1" t="s">
        <v>70</v>
      </c>
      <c r="E94" s="8" t="s">
        <v>29</v>
      </c>
      <c r="F94" s="1" t="s">
        <v>30</v>
      </c>
      <c r="G94" s="1" t="s">
        <v>31</v>
      </c>
      <c r="H94" s="8" t="s">
        <v>32</v>
      </c>
      <c r="I94" s="1" t="s">
        <v>63</v>
      </c>
      <c r="J94" s="8" t="s">
        <v>58</v>
      </c>
      <c r="K94" s="1" t="s">
        <v>64</v>
      </c>
      <c r="L94" s="8">
        <v>300</v>
      </c>
      <c r="M94" s="3">
        <v>0</v>
      </c>
    </row>
    <row r="95" spans="1:13">
      <c r="A95" s="11">
        <v>85</v>
      </c>
      <c r="B95" s="8" t="s">
        <v>13</v>
      </c>
      <c r="C95" s="1" t="s">
        <v>14</v>
      </c>
      <c r="D95" s="1" t="s">
        <v>71</v>
      </c>
      <c r="E95" s="8" t="s">
        <v>16</v>
      </c>
      <c r="F95" s="1" t="s">
        <v>17</v>
      </c>
      <c r="G95" s="1" t="s">
        <v>18</v>
      </c>
      <c r="H95" s="8" t="s">
        <v>19</v>
      </c>
      <c r="I95" s="1" t="s">
        <v>20</v>
      </c>
      <c r="J95" s="8" t="s">
        <v>21</v>
      </c>
      <c r="K95" s="1" t="s">
        <v>22</v>
      </c>
      <c r="L95" s="8">
        <v>200</v>
      </c>
      <c r="M95" s="3">
        <v>0</v>
      </c>
    </row>
    <row r="96" spans="1:13">
      <c r="A96" s="11">
        <v>85</v>
      </c>
      <c r="B96" s="8" t="s">
        <v>13</v>
      </c>
      <c r="C96" s="1" t="s">
        <v>14</v>
      </c>
      <c r="D96" s="1" t="s">
        <v>71</v>
      </c>
      <c r="E96" s="8" t="s">
        <v>16</v>
      </c>
      <c r="F96" s="1" t="s">
        <v>17</v>
      </c>
      <c r="G96" s="1" t="s">
        <v>18</v>
      </c>
      <c r="H96" s="8" t="s">
        <v>19</v>
      </c>
      <c r="I96" s="1" t="s">
        <v>20</v>
      </c>
      <c r="J96" s="8" t="s">
        <v>21</v>
      </c>
      <c r="K96" s="1" t="s">
        <v>22</v>
      </c>
      <c r="L96" s="8">
        <v>200</v>
      </c>
      <c r="M96" s="3">
        <v>0</v>
      </c>
    </row>
    <row r="97" spans="1:13">
      <c r="A97" s="11">
        <v>86</v>
      </c>
      <c r="B97" s="8" t="s">
        <v>13</v>
      </c>
      <c r="C97" s="1" t="s">
        <v>14</v>
      </c>
      <c r="D97" s="1" t="s">
        <v>71</v>
      </c>
      <c r="E97" s="8" t="s">
        <v>23</v>
      </c>
      <c r="F97" s="1" t="s">
        <v>24</v>
      </c>
      <c r="G97" s="1" t="s">
        <v>25</v>
      </c>
      <c r="H97" s="8" t="s">
        <v>26</v>
      </c>
      <c r="I97" s="1" t="s">
        <v>27</v>
      </c>
      <c r="J97" s="8" t="s">
        <v>21</v>
      </c>
      <c r="K97" s="1" t="s">
        <v>28</v>
      </c>
      <c r="L97" s="8">
        <v>450</v>
      </c>
      <c r="M97" s="3">
        <v>0</v>
      </c>
    </row>
    <row r="98" spans="1:13">
      <c r="A98" s="11">
        <v>87</v>
      </c>
      <c r="B98" s="8" t="s">
        <v>13</v>
      </c>
      <c r="C98" s="1" t="s">
        <v>14</v>
      </c>
      <c r="D98" s="1" t="s">
        <v>71</v>
      </c>
      <c r="E98" s="8" t="s">
        <v>29</v>
      </c>
      <c r="F98" s="1" t="s">
        <v>30</v>
      </c>
      <c r="G98" s="1" t="s">
        <v>31</v>
      </c>
      <c r="H98" s="8" t="s">
        <v>42</v>
      </c>
      <c r="I98" s="1" t="s">
        <v>33</v>
      </c>
      <c r="J98" s="8" t="s">
        <v>21</v>
      </c>
      <c r="K98" s="1" t="s">
        <v>34</v>
      </c>
      <c r="L98" s="8">
        <v>350</v>
      </c>
      <c r="M98" s="3">
        <v>0</v>
      </c>
    </row>
    <row r="99" spans="1:13">
      <c r="A99" s="11">
        <v>88</v>
      </c>
      <c r="B99" s="8" t="s">
        <v>35</v>
      </c>
      <c r="C99" s="1" t="s">
        <v>36</v>
      </c>
      <c r="D99" s="1" t="s">
        <v>71</v>
      </c>
      <c r="E99" s="8" t="s">
        <v>16</v>
      </c>
      <c r="F99" s="1"/>
      <c r="G99" s="1" t="s">
        <v>18</v>
      </c>
      <c r="H99" s="8" t="s">
        <v>19</v>
      </c>
      <c r="I99" s="1" t="s">
        <v>37</v>
      </c>
      <c r="J99" s="8" t="s">
        <v>38</v>
      </c>
      <c r="K99" s="1" t="s">
        <v>39</v>
      </c>
      <c r="L99" s="8">
        <v>700</v>
      </c>
      <c r="M99" s="3">
        <v>0</v>
      </c>
    </row>
    <row r="100" spans="1:13">
      <c r="A100" s="11">
        <v>89</v>
      </c>
      <c r="B100" s="8" t="s">
        <v>35</v>
      </c>
      <c r="C100" s="1" t="s">
        <v>36</v>
      </c>
      <c r="D100" s="1" t="s">
        <v>71</v>
      </c>
      <c r="E100" s="8" t="s">
        <v>23</v>
      </c>
      <c r="F100" s="1" t="s">
        <v>24</v>
      </c>
      <c r="G100" s="1" t="s">
        <v>25</v>
      </c>
      <c r="H100" s="8" t="s">
        <v>26</v>
      </c>
      <c r="I100" s="1" t="s">
        <v>40</v>
      </c>
      <c r="J100" s="8" t="s">
        <v>38</v>
      </c>
      <c r="K100" s="1" t="s">
        <v>41</v>
      </c>
      <c r="L100" s="8">
        <v>1600</v>
      </c>
      <c r="M100" s="3">
        <v>0</v>
      </c>
    </row>
    <row r="101" spans="1:13">
      <c r="A101" s="11">
        <v>90</v>
      </c>
      <c r="B101" s="8" t="s">
        <v>35</v>
      </c>
      <c r="C101" s="1" t="s">
        <v>36</v>
      </c>
      <c r="D101" s="1" t="s">
        <v>71</v>
      </c>
      <c r="E101" s="8" t="s">
        <v>29</v>
      </c>
      <c r="F101" s="1" t="s">
        <v>30</v>
      </c>
      <c r="G101" s="1" t="s">
        <v>31</v>
      </c>
      <c r="H101" s="8" t="s">
        <v>32</v>
      </c>
      <c r="I101" s="1" t="s">
        <v>43</v>
      </c>
      <c r="J101" s="8" t="s">
        <v>38</v>
      </c>
      <c r="K101" s="1" t="s">
        <v>44</v>
      </c>
      <c r="L101" s="8">
        <v>1000</v>
      </c>
      <c r="M101" s="3">
        <v>0</v>
      </c>
    </row>
    <row r="102" spans="1:13">
      <c r="A102" s="11">
        <v>91</v>
      </c>
      <c r="B102" s="8" t="s">
        <v>45</v>
      </c>
      <c r="C102" s="1" t="s">
        <v>46</v>
      </c>
      <c r="D102" s="1" t="s">
        <v>71</v>
      </c>
      <c r="E102" s="8" t="s">
        <v>16</v>
      </c>
      <c r="F102" s="1" t="s">
        <v>17</v>
      </c>
      <c r="G102" s="1" t="s">
        <v>18</v>
      </c>
      <c r="H102" s="8" t="s">
        <v>19</v>
      </c>
      <c r="I102" s="1" t="s">
        <v>48</v>
      </c>
      <c r="J102" s="8" t="s">
        <v>49</v>
      </c>
      <c r="K102" s="1" t="s">
        <v>50</v>
      </c>
      <c r="L102" s="8">
        <v>180</v>
      </c>
      <c r="M102" s="3">
        <v>0</v>
      </c>
    </row>
    <row r="103" spans="1:13">
      <c r="A103" s="11">
        <v>92</v>
      </c>
      <c r="B103" s="8" t="s">
        <v>45</v>
      </c>
      <c r="C103" s="1" t="s">
        <v>46</v>
      </c>
      <c r="D103" s="1" t="s">
        <v>71</v>
      </c>
      <c r="E103" s="8" t="s">
        <v>23</v>
      </c>
      <c r="F103" s="1" t="s">
        <v>24</v>
      </c>
      <c r="G103" s="1" t="s">
        <v>25</v>
      </c>
      <c r="H103" s="8" t="s">
        <v>60</v>
      </c>
      <c r="I103" s="1" t="s">
        <v>51</v>
      </c>
      <c r="J103" s="8" t="s">
        <v>49</v>
      </c>
      <c r="K103" s="1" t="s">
        <v>52</v>
      </c>
      <c r="L103" s="8">
        <v>300</v>
      </c>
      <c r="M103" s="3">
        <v>0</v>
      </c>
    </row>
    <row r="104" spans="1:13">
      <c r="A104" s="11">
        <v>93</v>
      </c>
      <c r="B104" s="8" t="s">
        <v>45</v>
      </c>
      <c r="C104" s="1" t="s">
        <v>46</v>
      </c>
      <c r="D104" s="1" t="s">
        <v>71</v>
      </c>
      <c r="E104" s="8" t="s">
        <v>29</v>
      </c>
      <c r="F104" s="1" t="s">
        <v>30</v>
      </c>
      <c r="G104" s="1" t="s">
        <v>31</v>
      </c>
      <c r="H104" s="8" t="s">
        <v>32</v>
      </c>
      <c r="I104" s="1" t="s">
        <v>53</v>
      </c>
      <c r="J104" s="8" t="s">
        <v>49</v>
      </c>
      <c r="K104" s="1" t="s">
        <v>54</v>
      </c>
      <c r="L104" s="8">
        <v>230</v>
      </c>
      <c r="M104" s="3">
        <v>0</v>
      </c>
    </row>
    <row r="105" spans="1:13">
      <c r="A105" s="11">
        <v>93</v>
      </c>
      <c r="B105" s="8" t="s">
        <v>45</v>
      </c>
      <c r="C105" s="1" t="s">
        <v>46</v>
      </c>
      <c r="D105" s="1" t="s">
        <v>71</v>
      </c>
      <c r="E105" s="8" t="s">
        <v>29</v>
      </c>
      <c r="F105" s="1" t="s">
        <v>30</v>
      </c>
      <c r="G105" s="1" t="s">
        <v>31</v>
      </c>
      <c r="H105" s="8" t="s">
        <v>32</v>
      </c>
      <c r="I105" s="1" t="s">
        <v>53</v>
      </c>
      <c r="J105" s="8" t="s">
        <v>49</v>
      </c>
      <c r="K105" s="1" t="s">
        <v>54</v>
      </c>
      <c r="L105" s="8">
        <v>230</v>
      </c>
      <c r="M105" s="3">
        <v>0</v>
      </c>
    </row>
    <row r="106" spans="1:13">
      <c r="A106" s="11">
        <v>94</v>
      </c>
      <c r="B106" s="8" t="s">
        <v>55</v>
      </c>
      <c r="C106" s="1" t="s">
        <v>56</v>
      </c>
      <c r="D106" s="1" t="s">
        <v>71</v>
      </c>
      <c r="E106" s="8" t="s">
        <v>16</v>
      </c>
      <c r="F106" s="1" t="s">
        <v>17</v>
      </c>
      <c r="G106" s="1" t="s">
        <v>18</v>
      </c>
      <c r="H106" s="8" t="s">
        <v>19</v>
      </c>
      <c r="I106" s="1" t="s">
        <v>57</v>
      </c>
      <c r="J106" s="8" t="s">
        <v>58</v>
      </c>
      <c r="K106" s="1" t="s">
        <v>59</v>
      </c>
      <c r="L106" s="8">
        <v>150</v>
      </c>
      <c r="M106" s="3">
        <v>0</v>
      </c>
    </row>
    <row r="107" spans="1:13">
      <c r="A107" s="11">
        <v>95</v>
      </c>
      <c r="B107" s="8" t="s">
        <v>55</v>
      </c>
      <c r="C107" s="1" t="s">
        <v>56</v>
      </c>
      <c r="D107" s="1" t="s">
        <v>71</v>
      </c>
      <c r="E107" s="8" t="s">
        <v>23</v>
      </c>
      <c r="F107" s="1" t="s">
        <v>24</v>
      </c>
      <c r="G107" s="1" t="s">
        <v>25</v>
      </c>
      <c r="H107" s="8" t="s">
        <v>26</v>
      </c>
      <c r="I107" s="1" t="s">
        <v>61</v>
      </c>
      <c r="J107" s="8" t="s">
        <v>58</v>
      </c>
      <c r="K107" s="1" t="s">
        <v>62</v>
      </c>
      <c r="L107" s="8">
        <v>280</v>
      </c>
      <c r="M107" s="3">
        <v>0</v>
      </c>
    </row>
    <row r="108" spans="1:13">
      <c r="A108" s="11">
        <v>96</v>
      </c>
      <c r="B108" s="8" t="s">
        <v>55</v>
      </c>
      <c r="C108" s="1" t="s">
        <v>56</v>
      </c>
      <c r="D108" s="1" t="s">
        <v>71</v>
      </c>
      <c r="E108" s="8" t="s">
        <v>29</v>
      </c>
      <c r="F108" s="1" t="s">
        <v>30</v>
      </c>
      <c r="G108" s="1" t="s">
        <v>31</v>
      </c>
      <c r="H108" s="8" t="s">
        <v>32</v>
      </c>
      <c r="I108" s="1" t="s">
        <v>63</v>
      </c>
      <c r="J108" s="8" t="s">
        <v>58</v>
      </c>
      <c r="K108" s="1" t="s">
        <v>64</v>
      </c>
      <c r="L108" s="8">
        <v>290</v>
      </c>
      <c r="M108" s="3">
        <v>0</v>
      </c>
    </row>
    <row r="109" spans="1:13">
      <c r="A109" s="11">
        <v>97</v>
      </c>
      <c r="B109" s="8" t="s">
        <v>13</v>
      </c>
      <c r="C109" s="1" t="s">
        <v>14</v>
      </c>
      <c r="D109" s="1" t="s">
        <v>72</v>
      </c>
      <c r="E109" s="8" t="s">
        <v>16</v>
      </c>
      <c r="F109" s="1" t="s">
        <v>17</v>
      </c>
      <c r="G109" s="1" t="s">
        <v>18</v>
      </c>
      <c r="H109" s="8" t="s">
        <v>19</v>
      </c>
      <c r="I109" s="1" t="s">
        <v>20</v>
      </c>
      <c r="J109" s="8" t="s">
        <v>21</v>
      </c>
      <c r="K109" s="1" t="s">
        <v>22</v>
      </c>
      <c r="L109" s="8">
        <v>180</v>
      </c>
      <c r="M109" s="3">
        <v>0</v>
      </c>
    </row>
    <row r="110" spans="1:13">
      <c r="A110" s="11">
        <v>98</v>
      </c>
      <c r="B110" s="8" t="s">
        <v>13</v>
      </c>
      <c r="C110" s="1" t="s">
        <v>14</v>
      </c>
      <c r="D110" s="1" t="s">
        <v>72</v>
      </c>
      <c r="E110" s="8" t="s">
        <v>23</v>
      </c>
      <c r="F110" s="1" t="s">
        <v>24</v>
      </c>
      <c r="G110" s="1" t="s">
        <v>25</v>
      </c>
      <c r="H110" s="8" t="s">
        <v>26</v>
      </c>
      <c r="I110" s="1" t="s">
        <v>27</v>
      </c>
      <c r="J110" s="8" t="s">
        <v>21</v>
      </c>
      <c r="K110" s="1" t="s">
        <v>28</v>
      </c>
      <c r="L110" s="8">
        <v>500</v>
      </c>
      <c r="M110" s="3">
        <v>0</v>
      </c>
    </row>
    <row r="111" spans="1:13">
      <c r="A111" s="11">
        <v>99</v>
      </c>
      <c r="B111" s="8" t="s">
        <v>13</v>
      </c>
      <c r="C111" s="1" t="s">
        <v>14</v>
      </c>
      <c r="D111" s="1" t="s">
        <v>72</v>
      </c>
      <c r="E111" s="8" t="s">
        <v>29</v>
      </c>
      <c r="F111" s="1" t="s">
        <v>30</v>
      </c>
      <c r="G111" s="1" t="s">
        <v>31</v>
      </c>
      <c r="H111" s="8" t="s">
        <v>32</v>
      </c>
      <c r="I111" s="1" t="s">
        <v>33</v>
      </c>
      <c r="J111" s="8" t="s">
        <v>21</v>
      </c>
      <c r="K111" s="1" t="s">
        <v>34</v>
      </c>
      <c r="L111" s="8">
        <v>300</v>
      </c>
      <c r="M111" s="3">
        <v>0</v>
      </c>
    </row>
    <row r="112" spans="1:13">
      <c r="A112" s="11">
        <v>100</v>
      </c>
      <c r="B112" s="8" t="s">
        <v>35</v>
      </c>
      <c r="C112" s="1" t="s">
        <v>36</v>
      </c>
      <c r="D112" s="1" t="s">
        <v>72</v>
      </c>
      <c r="E112" s="8" t="s">
        <v>16</v>
      </c>
      <c r="F112" s="1" t="s">
        <v>17</v>
      </c>
      <c r="G112" s="1" t="s">
        <v>18</v>
      </c>
      <c r="H112" s="8" t="s">
        <v>19</v>
      </c>
      <c r="I112" s="1" t="s">
        <v>37</v>
      </c>
      <c r="J112" s="8" t="s">
        <v>38</v>
      </c>
      <c r="K112" s="1" t="s">
        <v>39</v>
      </c>
      <c r="L112" s="8">
        <v>600</v>
      </c>
      <c r="M112" s="3">
        <v>0</v>
      </c>
    </row>
    <row r="113" spans="1:13">
      <c r="A113" s="11">
        <v>101</v>
      </c>
      <c r="B113" s="8" t="s">
        <v>35</v>
      </c>
      <c r="C113" s="1" t="s">
        <v>36</v>
      </c>
      <c r="D113" s="1" t="s">
        <v>72</v>
      </c>
      <c r="E113" s="8" t="s">
        <v>23</v>
      </c>
      <c r="F113" s="1" t="s">
        <v>24</v>
      </c>
      <c r="G113" s="1" t="s">
        <v>25</v>
      </c>
      <c r="H113" s="8" t="s">
        <v>26</v>
      </c>
      <c r="I113" s="1" t="s">
        <v>40</v>
      </c>
      <c r="J113" s="8" t="s">
        <v>38</v>
      </c>
      <c r="K113" s="1" t="s">
        <v>41</v>
      </c>
      <c r="L113" s="8">
        <v>1400</v>
      </c>
      <c r="M113" s="3">
        <v>0</v>
      </c>
    </row>
    <row r="114" spans="1:13">
      <c r="A114" s="11">
        <v>102</v>
      </c>
      <c r="B114" s="8" t="s">
        <v>35</v>
      </c>
      <c r="C114" s="1" t="s">
        <v>36</v>
      </c>
      <c r="D114" s="1" t="s">
        <v>72</v>
      </c>
      <c r="E114" s="8" t="s">
        <v>29</v>
      </c>
      <c r="F114" s="1" t="s">
        <v>30</v>
      </c>
      <c r="G114" s="1" t="s">
        <v>31</v>
      </c>
      <c r="H114" s="8" t="s">
        <v>32</v>
      </c>
      <c r="I114" s="1" t="s">
        <v>43</v>
      </c>
      <c r="J114" s="8" t="s">
        <v>38</v>
      </c>
      <c r="K114" s="1" t="s">
        <v>44</v>
      </c>
      <c r="L114" s="8">
        <v>850</v>
      </c>
      <c r="M114" s="3">
        <v>0</v>
      </c>
    </row>
    <row r="115" spans="1:13">
      <c r="A115" s="11">
        <v>103</v>
      </c>
      <c r="B115" s="8" t="s">
        <v>45</v>
      </c>
      <c r="C115" s="1" t="s">
        <v>46</v>
      </c>
      <c r="D115" s="1" t="s">
        <v>72</v>
      </c>
      <c r="E115" s="8" t="s">
        <v>16</v>
      </c>
      <c r="F115" s="1" t="s">
        <v>17</v>
      </c>
      <c r="G115" s="1" t="s">
        <v>18</v>
      </c>
      <c r="H115" s="8" t="s">
        <v>47</v>
      </c>
      <c r="I115" s="1" t="s">
        <v>48</v>
      </c>
      <c r="J115" s="8" t="s">
        <v>49</v>
      </c>
      <c r="K115" s="1" t="s">
        <v>50</v>
      </c>
      <c r="L115" s="8">
        <v>160</v>
      </c>
      <c r="M115" s="3">
        <v>0</v>
      </c>
    </row>
    <row r="116" spans="1:13">
      <c r="A116" s="11">
        <v>104</v>
      </c>
      <c r="B116" s="8" t="s">
        <v>45</v>
      </c>
      <c r="C116" s="1" t="s">
        <v>46</v>
      </c>
      <c r="D116" s="1" t="s">
        <v>72</v>
      </c>
      <c r="E116" s="8" t="s">
        <v>23</v>
      </c>
      <c r="F116" s="1" t="s">
        <v>24</v>
      </c>
      <c r="G116" s="1" t="s">
        <v>25</v>
      </c>
      <c r="H116" s="8" t="s">
        <v>26</v>
      </c>
      <c r="I116" s="1" t="s">
        <v>51</v>
      </c>
      <c r="J116" s="8" t="s">
        <v>49</v>
      </c>
      <c r="K116" s="1" t="s">
        <v>52</v>
      </c>
      <c r="L116" s="8">
        <v>320</v>
      </c>
      <c r="M116" s="3">
        <v>0</v>
      </c>
    </row>
    <row r="117" spans="1:13">
      <c r="A117" s="11">
        <v>105</v>
      </c>
      <c r="B117" s="8" t="s">
        <v>45</v>
      </c>
      <c r="C117" s="1" t="s">
        <v>46</v>
      </c>
      <c r="D117" s="1" t="s">
        <v>72</v>
      </c>
      <c r="E117" s="8" t="s">
        <v>29</v>
      </c>
      <c r="F117" s="1" t="s">
        <v>30</v>
      </c>
      <c r="G117" s="1" t="s">
        <v>31</v>
      </c>
      <c r="H117" s="8" t="s">
        <v>32</v>
      </c>
      <c r="I117" s="1" t="s">
        <v>53</v>
      </c>
      <c r="J117" s="8" t="s">
        <v>49</v>
      </c>
      <c r="K117" s="1" t="s">
        <v>54</v>
      </c>
      <c r="L117" s="8">
        <v>250</v>
      </c>
      <c r="M117" s="3">
        <v>0</v>
      </c>
    </row>
    <row r="118" spans="1:13">
      <c r="A118" s="11">
        <v>105</v>
      </c>
      <c r="B118" s="8" t="s">
        <v>45</v>
      </c>
      <c r="C118" s="1" t="s">
        <v>46</v>
      </c>
      <c r="D118" s="1" t="s">
        <v>72</v>
      </c>
      <c r="E118" s="8" t="s">
        <v>29</v>
      </c>
      <c r="F118" s="1" t="s">
        <v>30</v>
      </c>
      <c r="G118" s="1" t="s">
        <v>31</v>
      </c>
      <c r="H118" s="8" t="s">
        <v>32</v>
      </c>
      <c r="I118" s="1" t="s">
        <v>53</v>
      </c>
      <c r="J118" s="8" t="s">
        <v>49</v>
      </c>
      <c r="K118" s="1" t="s">
        <v>54</v>
      </c>
      <c r="L118" s="8">
        <v>250</v>
      </c>
      <c r="M118" s="3">
        <v>0</v>
      </c>
    </row>
    <row r="119" spans="1:13">
      <c r="A119" s="11">
        <v>106</v>
      </c>
      <c r="B119" s="8" t="s">
        <v>55</v>
      </c>
      <c r="C119" s="1" t="s">
        <v>56</v>
      </c>
      <c r="D119" s="1" t="s">
        <v>72</v>
      </c>
      <c r="E119" s="8" t="s">
        <v>16</v>
      </c>
      <c r="F119" s="1" t="s">
        <v>17</v>
      </c>
      <c r="G119" s="1" t="s">
        <v>18</v>
      </c>
      <c r="H119" s="8" t="s">
        <v>19</v>
      </c>
      <c r="I119" s="1" t="s">
        <v>57</v>
      </c>
      <c r="J119" s="8" t="s">
        <v>58</v>
      </c>
      <c r="K119" s="1" t="s">
        <v>59</v>
      </c>
      <c r="L119" s="8">
        <v>140</v>
      </c>
      <c r="M119" s="3">
        <v>0</v>
      </c>
    </row>
    <row r="120" spans="1:13">
      <c r="A120" s="11">
        <v>107</v>
      </c>
      <c r="B120" s="8" t="s">
        <v>55</v>
      </c>
      <c r="C120" s="1" t="s">
        <v>56</v>
      </c>
      <c r="D120" s="1" t="s">
        <v>72</v>
      </c>
      <c r="E120" s="8" t="s">
        <v>23</v>
      </c>
      <c r="F120" s="1" t="s">
        <v>24</v>
      </c>
      <c r="G120" s="1" t="s">
        <v>25</v>
      </c>
      <c r="H120" s="8" t="s">
        <v>26</v>
      </c>
      <c r="I120" s="1" t="s">
        <v>61</v>
      </c>
      <c r="J120" s="8" t="s">
        <v>58</v>
      </c>
      <c r="K120" s="1" t="s">
        <v>62</v>
      </c>
      <c r="L120" s="8">
        <v>310</v>
      </c>
      <c r="M120" s="3">
        <v>0</v>
      </c>
    </row>
    <row r="121" spans="1:13">
      <c r="A121" s="11">
        <v>108</v>
      </c>
      <c r="B121" s="8" t="s">
        <v>55</v>
      </c>
      <c r="C121" s="1" t="s">
        <v>56</v>
      </c>
      <c r="D121" s="1" t="s">
        <v>72</v>
      </c>
      <c r="E121" s="8" t="s">
        <v>29</v>
      </c>
      <c r="F121" s="1" t="s">
        <v>30</v>
      </c>
      <c r="G121" s="1" t="s">
        <v>31</v>
      </c>
      <c r="H121" s="8" t="s">
        <v>32</v>
      </c>
      <c r="I121" s="1" t="s">
        <v>63</v>
      </c>
      <c r="J121" s="8" t="s">
        <v>58</v>
      </c>
      <c r="K121" s="1" t="s">
        <v>64</v>
      </c>
      <c r="L121" s="8">
        <v>280</v>
      </c>
      <c r="M121" s="3">
        <v>0</v>
      </c>
    </row>
    <row r="122" spans="1:13">
      <c r="A122" s="11">
        <v>109</v>
      </c>
      <c r="B122" s="8" t="s">
        <v>13</v>
      </c>
      <c r="C122" s="1" t="s">
        <v>14</v>
      </c>
      <c r="D122" s="1" t="s">
        <v>73</v>
      </c>
      <c r="E122" s="8" t="s">
        <v>16</v>
      </c>
      <c r="F122" s="1" t="s">
        <v>17</v>
      </c>
      <c r="G122" s="1" t="s">
        <v>18</v>
      </c>
      <c r="H122" s="8" t="s">
        <v>19</v>
      </c>
      <c r="I122" s="1" t="s">
        <v>20</v>
      </c>
      <c r="J122" s="8" t="s">
        <v>21</v>
      </c>
      <c r="K122" s="1" t="s">
        <v>22</v>
      </c>
      <c r="L122" s="8">
        <v>150</v>
      </c>
      <c r="M122" s="3">
        <v>0</v>
      </c>
    </row>
    <row r="123" spans="1:13">
      <c r="A123" s="11">
        <v>110</v>
      </c>
      <c r="B123" s="8" t="s">
        <v>13</v>
      </c>
      <c r="C123" s="1" t="s">
        <v>14</v>
      </c>
      <c r="D123" s="1" t="s">
        <v>73</v>
      </c>
      <c r="E123" s="8" t="s">
        <v>23</v>
      </c>
      <c r="F123" s="1" t="s">
        <v>24</v>
      </c>
      <c r="G123" s="1" t="s">
        <v>25</v>
      </c>
      <c r="H123" s="8" t="s">
        <v>26</v>
      </c>
      <c r="I123" s="1" t="s">
        <v>27</v>
      </c>
      <c r="J123" s="8" t="s">
        <v>21</v>
      </c>
      <c r="K123" s="1" t="s">
        <v>28</v>
      </c>
      <c r="L123" s="8">
        <v>400</v>
      </c>
      <c r="M123" s="3">
        <v>0</v>
      </c>
    </row>
    <row r="124" spans="1:13">
      <c r="A124" s="11">
        <v>111</v>
      </c>
      <c r="B124" s="8" t="s">
        <v>13</v>
      </c>
      <c r="C124" s="1" t="s">
        <v>14</v>
      </c>
      <c r="D124" s="1" t="s">
        <v>73</v>
      </c>
      <c r="E124" s="8" t="s">
        <v>29</v>
      </c>
      <c r="F124" s="1" t="s">
        <v>30</v>
      </c>
      <c r="G124" s="1" t="s">
        <v>31</v>
      </c>
      <c r="H124" s="8" t="s">
        <v>42</v>
      </c>
      <c r="I124" s="1" t="s">
        <v>33</v>
      </c>
      <c r="J124" s="8" t="s">
        <v>21</v>
      </c>
      <c r="K124" s="1" t="s">
        <v>34</v>
      </c>
      <c r="L124" s="8">
        <v>280</v>
      </c>
      <c r="M124" s="3">
        <v>0</v>
      </c>
    </row>
    <row r="125" spans="1:13">
      <c r="A125" s="11">
        <v>112</v>
      </c>
      <c r="B125" s="8" t="s">
        <v>35</v>
      </c>
      <c r="C125" s="1" t="s">
        <v>36</v>
      </c>
      <c r="D125" s="1" t="s">
        <v>73</v>
      </c>
      <c r="E125" s="8" t="s">
        <v>16</v>
      </c>
      <c r="F125" s="1" t="s">
        <v>17</v>
      </c>
      <c r="G125" s="1" t="s">
        <v>18</v>
      </c>
      <c r="H125" s="8" t="s">
        <v>19</v>
      </c>
      <c r="I125" s="1" t="s">
        <v>37</v>
      </c>
      <c r="J125" s="8" t="s">
        <v>38</v>
      </c>
      <c r="K125" s="1" t="s">
        <v>39</v>
      </c>
      <c r="L125" s="8">
        <v>550</v>
      </c>
      <c r="M125" s="3">
        <v>0</v>
      </c>
    </row>
    <row r="126" spans="1:13">
      <c r="A126" s="11">
        <v>113</v>
      </c>
      <c r="B126" s="8" t="s">
        <v>35</v>
      </c>
      <c r="C126" s="1" t="s">
        <v>36</v>
      </c>
      <c r="D126" s="1" t="s">
        <v>73</v>
      </c>
      <c r="E126" s="8" t="s">
        <v>23</v>
      </c>
      <c r="F126" s="1" t="s">
        <v>24</v>
      </c>
      <c r="G126" s="1" t="s">
        <v>25</v>
      </c>
      <c r="H126" s="8" t="s">
        <v>26</v>
      </c>
      <c r="I126" s="1" t="s">
        <v>40</v>
      </c>
      <c r="J126" s="8" t="s">
        <v>38</v>
      </c>
      <c r="K126" s="1" t="s">
        <v>41</v>
      </c>
      <c r="L126" s="8">
        <v>1300</v>
      </c>
      <c r="M126" s="3">
        <v>0</v>
      </c>
    </row>
    <row r="127" spans="1:13">
      <c r="A127" s="11">
        <v>114</v>
      </c>
      <c r="B127" s="8" t="s">
        <v>35</v>
      </c>
      <c r="C127" s="1" t="s">
        <v>36</v>
      </c>
      <c r="D127" s="1" t="s">
        <v>73</v>
      </c>
      <c r="E127" s="8" t="s">
        <v>29</v>
      </c>
      <c r="F127" s="1" t="s">
        <v>30</v>
      </c>
      <c r="G127" s="1" t="s">
        <v>31</v>
      </c>
      <c r="H127" s="8" t="s">
        <v>32</v>
      </c>
      <c r="I127" s="1" t="s">
        <v>43</v>
      </c>
      <c r="J127" s="8" t="s">
        <v>38</v>
      </c>
      <c r="K127" s="1" t="s">
        <v>44</v>
      </c>
      <c r="L127" s="8">
        <v>750</v>
      </c>
      <c r="M127" s="3">
        <v>0</v>
      </c>
    </row>
    <row r="128" spans="1:13">
      <c r="A128" s="11">
        <v>115</v>
      </c>
      <c r="B128" s="8" t="s">
        <v>45</v>
      </c>
      <c r="C128" s="1" t="s">
        <v>46</v>
      </c>
      <c r="D128" s="1" t="s">
        <v>73</v>
      </c>
      <c r="E128" s="8" t="s">
        <v>16</v>
      </c>
      <c r="F128" s="1" t="s">
        <v>17</v>
      </c>
      <c r="G128" s="1" t="s">
        <v>18</v>
      </c>
      <c r="H128" s="8" t="s">
        <v>19</v>
      </c>
      <c r="I128" s="1" t="s">
        <v>48</v>
      </c>
      <c r="J128" s="8" t="s">
        <v>49</v>
      </c>
      <c r="K128" s="1" t="s">
        <v>50</v>
      </c>
      <c r="L128" s="8">
        <v>140</v>
      </c>
      <c r="M128" s="3">
        <v>0</v>
      </c>
    </row>
    <row r="129" spans="1:13">
      <c r="A129" s="11">
        <v>116</v>
      </c>
      <c r="B129" s="8" t="s">
        <v>45</v>
      </c>
      <c r="C129" s="1" t="s">
        <v>46</v>
      </c>
      <c r="D129" s="1" t="s">
        <v>73</v>
      </c>
      <c r="E129" s="8" t="s">
        <v>23</v>
      </c>
      <c r="F129" s="1"/>
      <c r="G129" s="1" t="s">
        <v>25</v>
      </c>
      <c r="H129" s="8" t="s">
        <v>26</v>
      </c>
      <c r="I129" s="1" t="s">
        <v>51</v>
      </c>
      <c r="J129" s="8" t="s">
        <v>49</v>
      </c>
      <c r="K129" s="1" t="s">
        <v>52</v>
      </c>
      <c r="L129" s="8">
        <v>300</v>
      </c>
      <c r="M129" s="3">
        <v>0</v>
      </c>
    </row>
    <row r="130" spans="1:13">
      <c r="A130" s="11">
        <v>117</v>
      </c>
      <c r="B130" s="8" t="s">
        <v>45</v>
      </c>
      <c r="C130" s="1" t="s">
        <v>46</v>
      </c>
      <c r="D130" s="1" t="s">
        <v>73</v>
      </c>
      <c r="E130" s="8" t="s">
        <v>29</v>
      </c>
      <c r="F130" s="1" t="s">
        <v>30</v>
      </c>
      <c r="G130" s="1" t="s">
        <v>31</v>
      </c>
      <c r="H130" s="8" t="s">
        <v>32</v>
      </c>
      <c r="I130" s="1" t="s">
        <v>53</v>
      </c>
      <c r="J130" s="8" t="s">
        <v>49</v>
      </c>
      <c r="K130" s="1" t="s">
        <v>54</v>
      </c>
      <c r="L130" s="8">
        <v>220</v>
      </c>
      <c r="M130" s="3">
        <v>0</v>
      </c>
    </row>
    <row r="131" spans="1:13">
      <c r="A131" s="11">
        <v>118</v>
      </c>
      <c r="B131" s="8" t="s">
        <v>55</v>
      </c>
      <c r="C131" s="1" t="s">
        <v>56</v>
      </c>
      <c r="D131" s="1" t="s">
        <v>73</v>
      </c>
      <c r="E131" s="8" t="s">
        <v>16</v>
      </c>
      <c r="F131" s="1" t="s">
        <v>17</v>
      </c>
      <c r="G131" s="1" t="s">
        <v>18</v>
      </c>
      <c r="H131" s="8" t="s">
        <v>19</v>
      </c>
      <c r="I131" s="1" t="s">
        <v>57</v>
      </c>
      <c r="J131" s="8" t="s">
        <v>58</v>
      </c>
      <c r="K131" s="1" t="s">
        <v>59</v>
      </c>
      <c r="L131" s="8">
        <v>130</v>
      </c>
      <c r="M131" s="3">
        <v>0</v>
      </c>
    </row>
    <row r="132" spans="1:13">
      <c r="A132" s="11">
        <v>119</v>
      </c>
      <c r="B132" s="8" t="s">
        <v>55</v>
      </c>
      <c r="C132" s="1" t="s">
        <v>56</v>
      </c>
      <c r="D132" s="1" t="s">
        <v>73</v>
      </c>
      <c r="E132" s="8" t="s">
        <v>23</v>
      </c>
      <c r="F132" s="1" t="s">
        <v>24</v>
      </c>
      <c r="G132" s="1" t="s">
        <v>25</v>
      </c>
      <c r="H132" s="8" t="s">
        <v>26</v>
      </c>
      <c r="I132" s="1" t="s">
        <v>61</v>
      </c>
      <c r="J132" s="8" t="s">
        <v>58</v>
      </c>
      <c r="K132" s="1" t="s">
        <v>62</v>
      </c>
      <c r="L132" s="8">
        <v>290</v>
      </c>
      <c r="M132" s="3">
        <v>0</v>
      </c>
    </row>
    <row r="133" spans="1:13">
      <c r="A133" s="11">
        <v>119</v>
      </c>
      <c r="B133" s="8" t="s">
        <v>55</v>
      </c>
      <c r="C133" s="1" t="s">
        <v>56</v>
      </c>
      <c r="D133" s="1" t="s">
        <v>73</v>
      </c>
      <c r="E133" s="8" t="s">
        <v>23</v>
      </c>
      <c r="F133" s="1" t="s">
        <v>24</v>
      </c>
      <c r="G133" s="1" t="s">
        <v>25</v>
      </c>
      <c r="H133" s="8" t="s">
        <v>26</v>
      </c>
      <c r="I133" s="1" t="s">
        <v>61</v>
      </c>
      <c r="J133" s="8" t="s">
        <v>58</v>
      </c>
      <c r="K133" s="1" t="s">
        <v>62</v>
      </c>
      <c r="L133" s="8">
        <v>290</v>
      </c>
      <c r="M133" s="3">
        <v>0</v>
      </c>
    </row>
    <row r="134" spans="1:13">
      <c r="A134" s="11">
        <v>120</v>
      </c>
      <c r="B134" s="8" t="s">
        <v>55</v>
      </c>
      <c r="C134" s="1" t="s">
        <v>56</v>
      </c>
      <c r="D134" s="1" t="s">
        <v>73</v>
      </c>
      <c r="E134" s="8" t="s">
        <v>29</v>
      </c>
      <c r="F134" s="1" t="s">
        <v>30</v>
      </c>
      <c r="G134" s="1" t="s">
        <v>31</v>
      </c>
      <c r="H134" s="8" t="s">
        <v>32</v>
      </c>
      <c r="I134" s="1" t="s">
        <v>63</v>
      </c>
      <c r="J134" s="8" t="s">
        <v>58</v>
      </c>
      <c r="K134" s="1" t="s">
        <v>64</v>
      </c>
      <c r="L134" s="8">
        <v>270</v>
      </c>
      <c r="M134" s="3">
        <v>0</v>
      </c>
    </row>
    <row r="135" spans="1:13">
      <c r="A135" s="11">
        <v>121</v>
      </c>
      <c r="B135" s="8" t="s">
        <v>13</v>
      </c>
      <c r="C135" s="1" t="s">
        <v>14</v>
      </c>
      <c r="D135" s="1" t="s">
        <v>74</v>
      </c>
      <c r="E135" s="8" t="s">
        <v>16</v>
      </c>
      <c r="F135" s="1" t="s">
        <v>17</v>
      </c>
      <c r="G135" s="1" t="s">
        <v>18</v>
      </c>
      <c r="H135" s="8" t="s">
        <v>19</v>
      </c>
      <c r="I135" s="1" t="s">
        <v>20</v>
      </c>
      <c r="J135" s="8" t="s">
        <v>21</v>
      </c>
      <c r="K135" s="1" t="s">
        <v>22</v>
      </c>
      <c r="L135" s="8">
        <v>180</v>
      </c>
      <c r="M135" s="3">
        <v>15</v>
      </c>
    </row>
    <row r="136" spans="1:13">
      <c r="A136" s="11">
        <v>122</v>
      </c>
      <c r="B136" s="8" t="s">
        <v>13</v>
      </c>
      <c r="C136" s="1" t="s">
        <v>14</v>
      </c>
      <c r="D136" s="1" t="s">
        <v>74</v>
      </c>
      <c r="E136" s="8" t="s">
        <v>23</v>
      </c>
      <c r="F136" s="1" t="s">
        <v>24</v>
      </c>
      <c r="G136" s="1" t="s">
        <v>25</v>
      </c>
      <c r="H136" s="8" t="s">
        <v>60</v>
      </c>
      <c r="I136" s="1" t="s">
        <v>27</v>
      </c>
      <c r="J136" s="8" t="s">
        <v>21</v>
      </c>
      <c r="K136" s="1" t="s">
        <v>28</v>
      </c>
      <c r="L136" s="8">
        <v>450</v>
      </c>
      <c r="M136" s="3">
        <v>15</v>
      </c>
    </row>
    <row r="137" spans="1:13">
      <c r="A137" s="11">
        <v>123</v>
      </c>
      <c r="B137" s="8" t="s">
        <v>13</v>
      </c>
      <c r="C137" s="1" t="s">
        <v>14</v>
      </c>
      <c r="D137" s="1" t="s">
        <v>74</v>
      </c>
      <c r="E137" s="8" t="s">
        <v>29</v>
      </c>
      <c r="F137" s="1" t="s">
        <v>30</v>
      </c>
      <c r="G137" s="1" t="s">
        <v>31</v>
      </c>
      <c r="H137" s="8" t="s">
        <v>32</v>
      </c>
      <c r="I137" s="1" t="s">
        <v>33</v>
      </c>
      <c r="J137" s="8" t="s">
        <v>21</v>
      </c>
      <c r="K137" s="1" t="s">
        <v>34</v>
      </c>
      <c r="L137" s="8">
        <v>300</v>
      </c>
      <c r="M137" s="3">
        <v>15</v>
      </c>
    </row>
    <row r="138" spans="1:13">
      <c r="A138" s="11">
        <v>124</v>
      </c>
      <c r="B138" s="8" t="s">
        <v>35</v>
      </c>
      <c r="C138" s="1" t="s">
        <v>36</v>
      </c>
      <c r="D138" s="1" t="s">
        <v>74</v>
      </c>
      <c r="E138" s="8" t="s">
        <v>16</v>
      </c>
      <c r="F138" s="1" t="s">
        <v>17</v>
      </c>
      <c r="G138" s="1" t="s">
        <v>18</v>
      </c>
      <c r="H138" s="8" t="s">
        <v>19</v>
      </c>
      <c r="I138" s="1" t="s">
        <v>37</v>
      </c>
      <c r="J138" s="8" t="s">
        <v>38</v>
      </c>
      <c r="K138" s="1" t="s">
        <v>39</v>
      </c>
      <c r="L138" s="8">
        <v>600</v>
      </c>
      <c r="M138" s="3">
        <v>15</v>
      </c>
    </row>
    <row r="139" spans="1:13">
      <c r="A139" s="11">
        <v>125</v>
      </c>
      <c r="B139" s="8" t="s">
        <v>35</v>
      </c>
      <c r="C139" s="1" t="s">
        <v>36</v>
      </c>
      <c r="D139" s="1" t="s">
        <v>74</v>
      </c>
      <c r="E139" s="8" t="s">
        <v>23</v>
      </c>
      <c r="F139" s="1" t="s">
        <v>24</v>
      </c>
      <c r="G139" s="1" t="s">
        <v>25</v>
      </c>
      <c r="H139" s="8" t="s">
        <v>26</v>
      </c>
      <c r="I139" s="1" t="s">
        <v>40</v>
      </c>
      <c r="J139" s="8" t="s">
        <v>38</v>
      </c>
      <c r="K139" s="1" t="s">
        <v>41</v>
      </c>
      <c r="L139" s="8">
        <v>1500</v>
      </c>
      <c r="M139" s="3">
        <v>15</v>
      </c>
    </row>
    <row r="140" spans="1:13">
      <c r="A140" s="11">
        <v>126</v>
      </c>
      <c r="B140" s="8" t="s">
        <v>35</v>
      </c>
      <c r="C140" s="1" t="s">
        <v>36</v>
      </c>
      <c r="D140" s="1" t="s">
        <v>74</v>
      </c>
      <c r="E140" s="8" t="s">
        <v>29</v>
      </c>
      <c r="F140" s="1" t="s">
        <v>30</v>
      </c>
      <c r="G140" s="1" t="s">
        <v>31</v>
      </c>
      <c r="H140" s="8" t="s">
        <v>32</v>
      </c>
      <c r="I140" s="1" t="s">
        <v>43</v>
      </c>
      <c r="J140" s="8" t="s">
        <v>38</v>
      </c>
      <c r="K140" s="1" t="s">
        <v>44</v>
      </c>
      <c r="L140" s="8">
        <v>800</v>
      </c>
      <c r="M140" s="3">
        <v>15</v>
      </c>
    </row>
    <row r="141" spans="1:13">
      <c r="A141" s="11">
        <v>127</v>
      </c>
      <c r="B141" s="8" t="s">
        <v>45</v>
      </c>
      <c r="C141" s="1" t="s">
        <v>46</v>
      </c>
      <c r="D141" s="1" t="s">
        <v>74</v>
      </c>
      <c r="E141" s="8" t="s">
        <v>16</v>
      </c>
      <c r="F141" s="1" t="s">
        <v>17</v>
      </c>
      <c r="G141" s="1" t="s">
        <v>18</v>
      </c>
      <c r="H141" s="8" t="s">
        <v>19</v>
      </c>
      <c r="I141" s="1" t="s">
        <v>48</v>
      </c>
      <c r="J141" s="8" t="s">
        <v>49</v>
      </c>
      <c r="K141" s="1" t="s">
        <v>50</v>
      </c>
      <c r="L141" s="8">
        <v>160</v>
      </c>
      <c r="M141" s="3">
        <v>15</v>
      </c>
    </row>
    <row r="142" spans="1:13">
      <c r="A142" s="11">
        <v>128</v>
      </c>
      <c r="B142" s="8" t="s">
        <v>45</v>
      </c>
      <c r="C142" s="1" t="s">
        <v>46</v>
      </c>
      <c r="D142" s="1" t="s">
        <v>74</v>
      </c>
      <c r="E142" s="8" t="s">
        <v>23</v>
      </c>
      <c r="F142" s="1" t="s">
        <v>24</v>
      </c>
      <c r="G142" s="1" t="s">
        <v>25</v>
      </c>
      <c r="H142" s="8" t="s">
        <v>26</v>
      </c>
      <c r="I142" s="1" t="s">
        <v>51</v>
      </c>
      <c r="J142" s="8" t="s">
        <v>49</v>
      </c>
      <c r="K142" s="1" t="s">
        <v>52</v>
      </c>
      <c r="L142" s="8">
        <v>320</v>
      </c>
      <c r="M142" s="3">
        <v>15</v>
      </c>
    </row>
    <row r="143" spans="1:13">
      <c r="A143" s="11">
        <v>129</v>
      </c>
      <c r="B143" s="8" t="s">
        <v>45</v>
      </c>
      <c r="C143" s="1" t="s">
        <v>46</v>
      </c>
      <c r="D143" s="1" t="s">
        <v>74</v>
      </c>
      <c r="E143" s="8" t="s">
        <v>29</v>
      </c>
      <c r="F143" s="1" t="s">
        <v>30</v>
      </c>
      <c r="G143" s="1" t="s">
        <v>31</v>
      </c>
      <c r="H143" s="8" t="s">
        <v>32</v>
      </c>
      <c r="I143" s="1" t="s">
        <v>53</v>
      </c>
      <c r="J143" s="8" t="s">
        <v>49</v>
      </c>
      <c r="K143" s="1" t="s">
        <v>54</v>
      </c>
      <c r="L143" s="8">
        <v>250</v>
      </c>
      <c r="M143" s="3">
        <v>15</v>
      </c>
    </row>
    <row r="144" spans="1:13">
      <c r="A144" s="11">
        <v>130</v>
      </c>
      <c r="B144" s="8" t="s">
        <v>55</v>
      </c>
      <c r="C144" s="1" t="s">
        <v>56</v>
      </c>
      <c r="D144" s="1" t="s">
        <v>74</v>
      </c>
      <c r="E144" s="8" t="s">
        <v>16</v>
      </c>
      <c r="F144" s="1" t="s">
        <v>17</v>
      </c>
      <c r="G144" s="1" t="s">
        <v>18</v>
      </c>
      <c r="H144" s="8" t="s">
        <v>19</v>
      </c>
      <c r="I144" s="1" t="s">
        <v>57</v>
      </c>
      <c r="J144" s="8" t="s">
        <v>58</v>
      </c>
      <c r="K144" s="1" t="s">
        <v>59</v>
      </c>
      <c r="L144" s="8">
        <v>140</v>
      </c>
      <c r="M144" s="3">
        <v>15</v>
      </c>
    </row>
    <row r="145" spans="1:13">
      <c r="A145" s="11">
        <v>131</v>
      </c>
      <c r="B145" s="8" t="s">
        <v>55</v>
      </c>
      <c r="C145" s="1" t="s">
        <v>56</v>
      </c>
      <c r="D145" s="1" t="s">
        <v>74</v>
      </c>
      <c r="E145" s="8" t="s">
        <v>23</v>
      </c>
      <c r="F145" s="1" t="s">
        <v>24</v>
      </c>
      <c r="G145" s="1" t="s">
        <v>25</v>
      </c>
      <c r="H145" s="8" t="s">
        <v>26</v>
      </c>
      <c r="I145" s="1" t="s">
        <v>61</v>
      </c>
      <c r="J145" s="8" t="s">
        <v>58</v>
      </c>
      <c r="K145" s="1" t="s">
        <v>62</v>
      </c>
      <c r="L145" s="8">
        <v>310</v>
      </c>
      <c r="M145" s="3">
        <v>15</v>
      </c>
    </row>
    <row r="146" spans="1:13">
      <c r="A146" s="11">
        <v>132</v>
      </c>
      <c r="B146" s="8" t="s">
        <v>55</v>
      </c>
      <c r="C146" s="1" t="s">
        <v>56</v>
      </c>
      <c r="D146" s="1" t="s">
        <v>74</v>
      </c>
      <c r="E146" s="8" t="s">
        <v>29</v>
      </c>
      <c r="F146" s="1" t="s">
        <v>30</v>
      </c>
      <c r="G146" s="1" t="s">
        <v>31</v>
      </c>
      <c r="H146" s="8" t="s">
        <v>32</v>
      </c>
      <c r="I146" s="1" t="s">
        <v>63</v>
      </c>
      <c r="J146" s="8" t="s">
        <v>58</v>
      </c>
      <c r="K146" s="1" t="s">
        <v>64</v>
      </c>
      <c r="L146" s="8">
        <v>290</v>
      </c>
      <c r="M146" s="3">
        <v>15</v>
      </c>
    </row>
    <row r="147" spans="1:13">
      <c r="A147" s="11">
        <v>132</v>
      </c>
      <c r="B147" s="8" t="s">
        <v>55</v>
      </c>
      <c r="C147" s="1" t="s">
        <v>56</v>
      </c>
      <c r="D147" s="1" t="s">
        <v>74</v>
      </c>
      <c r="E147" s="8" t="s">
        <v>29</v>
      </c>
      <c r="F147" s="1" t="s">
        <v>30</v>
      </c>
      <c r="G147" s="1" t="s">
        <v>31</v>
      </c>
      <c r="H147" s="8" t="s">
        <v>32</v>
      </c>
      <c r="I147" s="1" t="s">
        <v>63</v>
      </c>
      <c r="J147" s="8" t="s">
        <v>58</v>
      </c>
      <c r="K147" s="1" t="s">
        <v>64</v>
      </c>
      <c r="L147" s="8">
        <v>290</v>
      </c>
      <c r="M147" s="3">
        <v>15</v>
      </c>
    </row>
    <row r="148" spans="1:13">
      <c r="A148" s="11">
        <v>133</v>
      </c>
      <c r="B148" s="8" t="s">
        <v>13</v>
      </c>
      <c r="C148" s="1" t="s">
        <v>14</v>
      </c>
      <c r="D148" s="1" t="s">
        <v>75</v>
      </c>
      <c r="E148" s="8" t="s">
        <v>16</v>
      </c>
      <c r="F148" s="1" t="s">
        <v>17</v>
      </c>
      <c r="G148" s="1" t="s">
        <v>18</v>
      </c>
      <c r="H148" s="8" t="s">
        <v>19</v>
      </c>
      <c r="I148" s="1" t="s">
        <v>20</v>
      </c>
      <c r="J148" s="8" t="s">
        <v>21</v>
      </c>
      <c r="K148" s="1" t="s">
        <v>22</v>
      </c>
      <c r="L148" s="8">
        <v>250</v>
      </c>
      <c r="M148" s="3">
        <v>20</v>
      </c>
    </row>
    <row r="149" spans="1:13">
      <c r="A149" s="11">
        <v>134</v>
      </c>
      <c r="B149" s="8" t="s">
        <v>13</v>
      </c>
      <c r="C149" s="1" t="s">
        <v>14</v>
      </c>
      <c r="D149" s="1" t="s">
        <v>75</v>
      </c>
      <c r="E149" s="8" t="s">
        <v>23</v>
      </c>
      <c r="F149" s="1" t="s">
        <v>24</v>
      </c>
      <c r="G149" s="1" t="s">
        <v>25</v>
      </c>
      <c r="H149" s="8" t="s">
        <v>26</v>
      </c>
      <c r="I149" s="1" t="s">
        <v>27</v>
      </c>
      <c r="J149" s="8" t="s">
        <v>21</v>
      </c>
      <c r="K149" s="1" t="s">
        <v>28</v>
      </c>
      <c r="L149" s="8">
        <v>600</v>
      </c>
      <c r="M149" s="3">
        <v>20</v>
      </c>
    </row>
    <row r="150" spans="1:13">
      <c r="A150" s="11">
        <v>134</v>
      </c>
      <c r="B150" s="8" t="s">
        <v>13</v>
      </c>
      <c r="C150" s="1" t="s">
        <v>14</v>
      </c>
      <c r="D150" s="1" t="s">
        <v>75</v>
      </c>
      <c r="E150" s="8" t="s">
        <v>23</v>
      </c>
      <c r="F150" s="1" t="s">
        <v>24</v>
      </c>
      <c r="G150" s="1" t="s">
        <v>25</v>
      </c>
      <c r="H150" s="8" t="s">
        <v>26</v>
      </c>
      <c r="I150" s="1" t="s">
        <v>27</v>
      </c>
      <c r="J150" s="8" t="s">
        <v>21</v>
      </c>
      <c r="K150" s="1" t="s">
        <v>28</v>
      </c>
      <c r="L150" s="8">
        <v>600</v>
      </c>
      <c r="M150" s="3">
        <v>20</v>
      </c>
    </row>
    <row r="151" spans="1:13">
      <c r="A151" s="11">
        <v>135</v>
      </c>
      <c r="B151" s="8" t="s">
        <v>13</v>
      </c>
      <c r="C151" s="1" t="s">
        <v>14</v>
      </c>
      <c r="D151" s="1" t="s">
        <v>75</v>
      </c>
      <c r="E151" s="8" t="s">
        <v>29</v>
      </c>
      <c r="F151" s="1" t="s">
        <v>30</v>
      </c>
      <c r="G151" s="1" t="s">
        <v>31</v>
      </c>
      <c r="H151" s="8" t="s">
        <v>42</v>
      </c>
      <c r="I151" s="1" t="s">
        <v>33</v>
      </c>
      <c r="J151" s="8" t="s">
        <v>21</v>
      </c>
      <c r="K151" s="1" t="s">
        <v>34</v>
      </c>
      <c r="L151" s="8">
        <v>400</v>
      </c>
      <c r="M151" s="3">
        <v>20</v>
      </c>
    </row>
    <row r="152" spans="1:13">
      <c r="A152" s="11">
        <v>136</v>
      </c>
      <c r="B152" s="8" t="s">
        <v>35</v>
      </c>
      <c r="C152" s="1" t="s">
        <v>36</v>
      </c>
      <c r="D152" s="1" t="s">
        <v>75</v>
      </c>
      <c r="E152" s="8" t="s">
        <v>16</v>
      </c>
      <c r="F152" s="1" t="s">
        <v>17</v>
      </c>
      <c r="G152" s="1" t="s">
        <v>18</v>
      </c>
      <c r="H152" s="8" t="s">
        <v>19</v>
      </c>
      <c r="I152" s="1" t="s">
        <v>37</v>
      </c>
      <c r="J152" s="8" t="s">
        <v>38</v>
      </c>
      <c r="K152" s="1" t="s">
        <v>39</v>
      </c>
      <c r="L152" s="8">
        <v>800</v>
      </c>
      <c r="M152" s="3">
        <v>20</v>
      </c>
    </row>
    <row r="153" spans="1:13">
      <c r="A153" s="11">
        <v>137</v>
      </c>
      <c r="B153" s="8" t="s">
        <v>35</v>
      </c>
      <c r="C153" s="1" t="s">
        <v>36</v>
      </c>
      <c r="D153" s="1" t="s">
        <v>75</v>
      </c>
      <c r="E153" s="8" t="s">
        <v>23</v>
      </c>
      <c r="F153" s="1"/>
      <c r="G153" s="1" t="s">
        <v>25</v>
      </c>
      <c r="H153" s="8" t="s">
        <v>60</v>
      </c>
      <c r="I153" s="1" t="s">
        <v>40</v>
      </c>
      <c r="J153" s="8" t="s">
        <v>38</v>
      </c>
      <c r="K153" s="1" t="s">
        <v>41</v>
      </c>
      <c r="L153" s="8">
        <v>2000</v>
      </c>
      <c r="M153" s="3">
        <v>20</v>
      </c>
    </row>
    <row r="154" spans="1:13">
      <c r="A154" s="11">
        <v>138</v>
      </c>
      <c r="B154" s="8" t="s">
        <v>35</v>
      </c>
      <c r="C154" s="1" t="s">
        <v>36</v>
      </c>
      <c r="D154" s="1" t="s">
        <v>75</v>
      </c>
      <c r="E154" s="8" t="s">
        <v>29</v>
      </c>
      <c r="F154" s="1" t="s">
        <v>30</v>
      </c>
      <c r="G154" s="1" t="s">
        <v>31</v>
      </c>
      <c r="H154" s="8" t="s">
        <v>32</v>
      </c>
      <c r="I154" s="1" t="s">
        <v>43</v>
      </c>
      <c r="J154" s="8" t="s">
        <v>38</v>
      </c>
      <c r="K154" s="1" t="s">
        <v>44</v>
      </c>
      <c r="L154" s="8">
        <v>1200</v>
      </c>
      <c r="M154" s="3">
        <v>20</v>
      </c>
    </row>
    <row r="155" spans="1:13">
      <c r="A155" s="11">
        <v>138</v>
      </c>
      <c r="B155" s="8" t="s">
        <v>35</v>
      </c>
      <c r="C155" s="1" t="s">
        <v>36</v>
      </c>
      <c r="D155" s="1" t="s">
        <v>75</v>
      </c>
      <c r="E155" s="8" t="s">
        <v>29</v>
      </c>
      <c r="F155" s="1" t="s">
        <v>30</v>
      </c>
      <c r="G155" s="1" t="s">
        <v>31</v>
      </c>
      <c r="H155" s="8" t="s">
        <v>32</v>
      </c>
      <c r="I155" s="1" t="s">
        <v>43</v>
      </c>
      <c r="J155" s="8" t="s">
        <v>38</v>
      </c>
      <c r="K155" s="1" t="s">
        <v>44</v>
      </c>
      <c r="L155" s="8">
        <v>1200</v>
      </c>
      <c r="M155" s="3">
        <v>20</v>
      </c>
    </row>
    <row r="156" spans="1:13">
      <c r="A156" s="11">
        <v>139</v>
      </c>
      <c r="B156" s="8" t="s">
        <v>45</v>
      </c>
      <c r="C156" s="1" t="s">
        <v>46</v>
      </c>
      <c r="D156" s="1" t="s">
        <v>75</v>
      </c>
      <c r="E156" s="8" t="s">
        <v>16</v>
      </c>
      <c r="F156" s="1" t="s">
        <v>17</v>
      </c>
      <c r="G156" s="1" t="s">
        <v>18</v>
      </c>
      <c r="H156" s="8" t="s">
        <v>47</v>
      </c>
      <c r="I156" s="1" t="s">
        <v>48</v>
      </c>
      <c r="J156" s="8" t="s">
        <v>49</v>
      </c>
      <c r="K156" s="1" t="s">
        <v>50</v>
      </c>
      <c r="L156" s="8">
        <v>200</v>
      </c>
      <c r="M156" s="3">
        <v>20</v>
      </c>
    </row>
    <row r="157" spans="1:13">
      <c r="A157" s="11">
        <v>140</v>
      </c>
      <c r="B157" s="8" t="s">
        <v>45</v>
      </c>
      <c r="C157" s="1" t="s">
        <v>46</v>
      </c>
      <c r="D157" s="1" t="s">
        <v>75</v>
      </c>
      <c r="E157" s="8" t="s">
        <v>23</v>
      </c>
      <c r="F157" s="1" t="s">
        <v>24</v>
      </c>
      <c r="G157" s="1" t="s">
        <v>25</v>
      </c>
      <c r="H157" s="8" t="s">
        <v>60</v>
      </c>
      <c r="I157" s="1" t="s">
        <v>51</v>
      </c>
      <c r="J157" s="8" t="s">
        <v>49</v>
      </c>
      <c r="K157" s="1" t="s">
        <v>52</v>
      </c>
      <c r="L157" s="8">
        <v>400</v>
      </c>
      <c r="M157" s="3">
        <v>20</v>
      </c>
    </row>
    <row r="158" spans="1:13">
      <c r="A158" s="11">
        <v>141</v>
      </c>
      <c r="B158" s="8" t="s">
        <v>45</v>
      </c>
      <c r="C158" s="1" t="s">
        <v>46</v>
      </c>
      <c r="D158" s="1" t="s">
        <v>75</v>
      </c>
      <c r="E158" s="8" t="s">
        <v>29</v>
      </c>
      <c r="F158" s="1"/>
      <c r="G158" s="1" t="s">
        <v>31</v>
      </c>
      <c r="H158" s="8" t="s">
        <v>32</v>
      </c>
      <c r="I158" s="1" t="s">
        <v>53</v>
      </c>
      <c r="J158" s="8" t="s">
        <v>49</v>
      </c>
      <c r="K158" s="1" t="s">
        <v>54</v>
      </c>
      <c r="L158" s="8">
        <v>350</v>
      </c>
      <c r="M158" s="3">
        <v>20</v>
      </c>
    </row>
    <row r="159" spans="1:13">
      <c r="A159" s="11">
        <v>142</v>
      </c>
      <c r="B159" s="8" t="s">
        <v>55</v>
      </c>
      <c r="C159" s="1" t="s">
        <v>56</v>
      </c>
      <c r="D159" s="1" t="s">
        <v>75</v>
      </c>
      <c r="E159" s="8" t="s">
        <v>16</v>
      </c>
      <c r="F159" s="1" t="s">
        <v>17</v>
      </c>
      <c r="G159" s="1" t="s">
        <v>18</v>
      </c>
      <c r="H159" s="8" t="s">
        <v>19</v>
      </c>
      <c r="I159" s="1" t="s">
        <v>57</v>
      </c>
      <c r="J159" s="8" t="s">
        <v>58</v>
      </c>
      <c r="K159" s="1" t="s">
        <v>59</v>
      </c>
      <c r="L159" s="8">
        <v>180</v>
      </c>
      <c r="M159" s="3">
        <v>20</v>
      </c>
    </row>
    <row r="160" spans="1:13">
      <c r="A160" s="11">
        <v>142</v>
      </c>
      <c r="B160" s="8" t="s">
        <v>55</v>
      </c>
      <c r="C160" s="1" t="s">
        <v>56</v>
      </c>
      <c r="D160" s="1" t="s">
        <v>75</v>
      </c>
      <c r="E160" s="8" t="s">
        <v>16</v>
      </c>
      <c r="F160" s="1" t="s">
        <v>17</v>
      </c>
      <c r="G160" s="1" t="s">
        <v>18</v>
      </c>
      <c r="H160" s="8" t="s">
        <v>19</v>
      </c>
      <c r="I160" s="1" t="s">
        <v>57</v>
      </c>
      <c r="J160" s="8" t="s">
        <v>58</v>
      </c>
      <c r="K160" s="1" t="s">
        <v>59</v>
      </c>
      <c r="L160" s="8">
        <v>180</v>
      </c>
      <c r="M160" s="3">
        <v>20</v>
      </c>
    </row>
    <row r="161" spans="1:13">
      <c r="A161" s="11">
        <v>143</v>
      </c>
      <c r="B161" s="8" t="s">
        <v>55</v>
      </c>
      <c r="C161" s="1" t="s">
        <v>56</v>
      </c>
      <c r="D161" s="1" t="s">
        <v>75</v>
      </c>
      <c r="E161" s="8" t="s">
        <v>23</v>
      </c>
      <c r="F161" s="1" t="s">
        <v>24</v>
      </c>
      <c r="G161" s="1" t="s">
        <v>25</v>
      </c>
      <c r="H161" s="8" t="s">
        <v>26</v>
      </c>
      <c r="I161" s="1" t="s">
        <v>61</v>
      </c>
      <c r="J161" s="8" t="s">
        <v>58</v>
      </c>
      <c r="K161" s="1" t="s">
        <v>62</v>
      </c>
      <c r="L161" s="8">
        <v>400</v>
      </c>
      <c r="M161" s="3">
        <v>20</v>
      </c>
    </row>
    <row r="162" spans="1:13">
      <c r="A162" s="12">
        <v>144</v>
      </c>
      <c r="B162" s="9" t="s">
        <v>55</v>
      </c>
      <c r="C162" s="2" t="s">
        <v>56</v>
      </c>
      <c r="D162" s="2" t="s">
        <v>75</v>
      </c>
      <c r="E162" s="9" t="s">
        <v>29</v>
      </c>
      <c r="F162" s="2" t="s">
        <v>30</v>
      </c>
      <c r="G162" s="2" t="s">
        <v>31</v>
      </c>
      <c r="H162" s="9" t="s">
        <v>32</v>
      </c>
      <c r="I162" s="2" t="s">
        <v>63</v>
      </c>
      <c r="J162" s="9" t="s">
        <v>58</v>
      </c>
      <c r="K162" s="2" t="s">
        <v>64</v>
      </c>
      <c r="L162" s="9">
        <v>360</v>
      </c>
      <c r="M162" s="4">
        <v>20</v>
      </c>
    </row>
    <row r="164" spans="1:13" ht="43.5">
      <c r="A164" s="10" t="s">
        <v>76</v>
      </c>
      <c r="F164" t="s">
        <v>77</v>
      </c>
      <c r="H164" s="13" t="s">
        <v>78</v>
      </c>
      <c r="I164" t="s">
        <v>79</v>
      </c>
      <c r="K164" s="14" t="s">
        <v>78</v>
      </c>
      <c r="M164" s="14" t="s">
        <v>80</v>
      </c>
    </row>
  </sheetData>
  <conditionalFormatting sqref="A2:A162">
    <cfRule type="duplicateValues" dxfId="78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5A89-4701-48C3-A666-91E51B6F4AEC}">
  <dimension ref="A1:AA147"/>
  <sheetViews>
    <sheetView workbookViewId="0"/>
  </sheetViews>
  <sheetFormatPr defaultRowHeight="15"/>
  <cols>
    <col min="1" max="1" width="13.85546875" bestFit="1" customWidth="1"/>
    <col min="2" max="2" width="16.140625" bestFit="1" customWidth="1"/>
    <col min="3" max="3" width="16" bestFit="1" customWidth="1"/>
    <col min="4" max="4" width="16.85546875" bestFit="1" customWidth="1"/>
    <col min="5" max="5" width="10.28515625" bestFit="1" customWidth="1"/>
    <col min="6" max="6" width="17.5703125" bestFit="1" customWidth="1"/>
    <col min="7" max="7" width="12" bestFit="1" customWidth="1"/>
    <col min="9" max="9" width="22.140625" bestFit="1" customWidth="1"/>
    <col min="10" max="10" width="10.7109375" bestFit="1" customWidth="1"/>
    <col min="11" max="11" width="12.140625" bestFit="1" customWidth="1"/>
    <col min="12" max="12" width="15.42578125" bestFit="1" customWidth="1"/>
    <col min="13" max="13" width="36.42578125" bestFit="1" customWidth="1"/>
    <col min="14" max="14" width="24.85546875" bestFit="1" customWidth="1"/>
    <col min="15" max="15" width="10" bestFit="1" customWidth="1"/>
    <col min="16" max="16" width="11.5703125" bestFit="1" customWidth="1"/>
    <col min="17" max="17" width="13.140625" bestFit="1" customWidth="1"/>
    <col min="18" max="18" width="14.85546875" bestFit="1" customWidth="1"/>
    <col min="19" max="21" width="12.85546875" bestFit="1" customWidth="1"/>
    <col min="22" max="22" width="17" bestFit="1" customWidth="1"/>
    <col min="23" max="23" width="20.85546875" bestFit="1" customWidth="1"/>
    <col min="24" max="24" width="11.85546875" bestFit="1" customWidth="1"/>
    <col min="25" max="25" width="14.140625" bestFit="1" customWidth="1"/>
    <col min="26" max="26" width="12.140625" bestFit="1" customWidth="1"/>
    <col min="27" max="27" width="15.28515625" bestFit="1" customWidth="1"/>
  </cols>
  <sheetData>
    <row r="1" spans="1:27">
      <c r="A1" s="39" t="s">
        <v>81</v>
      </c>
    </row>
    <row r="3" spans="1:27">
      <c r="A3" t="s">
        <v>0</v>
      </c>
      <c r="B3" t="s">
        <v>1</v>
      </c>
      <c r="C3" t="s">
        <v>2</v>
      </c>
      <c r="D3" t="s">
        <v>82</v>
      </c>
      <c r="E3" t="s">
        <v>3</v>
      </c>
      <c r="F3" t="s">
        <v>4</v>
      </c>
      <c r="G3" t="s">
        <v>5</v>
      </c>
      <c r="H3" t="s">
        <v>6</v>
      </c>
      <c r="I3" t="s">
        <v>83</v>
      </c>
      <c r="J3" t="s">
        <v>7</v>
      </c>
      <c r="K3" t="s">
        <v>84</v>
      </c>
      <c r="L3" t="s">
        <v>85</v>
      </c>
      <c r="M3" t="s">
        <v>8</v>
      </c>
      <c r="N3" t="s">
        <v>86</v>
      </c>
      <c r="O3" t="s">
        <v>87</v>
      </c>
      <c r="P3" t="s">
        <v>88</v>
      </c>
      <c r="Q3" t="s">
        <v>89</v>
      </c>
      <c r="R3" t="s">
        <v>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11</v>
      </c>
      <c r="Y3" t="s">
        <v>12</v>
      </c>
      <c r="Z3" t="s">
        <v>95</v>
      </c>
      <c r="AA3" t="s">
        <v>96</v>
      </c>
    </row>
    <row r="4" spans="1:27">
      <c r="A4">
        <v>1</v>
      </c>
      <c r="B4" t="s">
        <v>13</v>
      </c>
      <c r="C4" t="s">
        <v>14</v>
      </c>
      <c r="D4" t="s">
        <v>97</v>
      </c>
      <c r="E4" t="s">
        <v>15</v>
      </c>
      <c r="F4" t="s">
        <v>16</v>
      </c>
      <c r="G4">
        <v>15</v>
      </c>
      <c r="H4" t="s">
        <v>18</v>
      </c>
      <c r="I4" t="s">
        <v>98</v>
      </c>
      <c r="J4">
        <v>30</v>
      </c>
      <c r="K4" t="s">
        <v>99</v>
      </c>
      <c r="L4" t="s">
        <v>100</v>
      </c>
      <c r="M4" t="s">
        <v>20</v>
      </c>
      <c r="N4" t="s">
        <v>101</v>
      </c>
      <c r="O4" t="s">
        <v>102</v>
      </c>
      <c r="P4" t="s">
        <v>103</v>
      </c>
      <c r="Q4">
        <v>560001</v>
      </c>
      <c r="R4" t="s">
        <v>21</v>
      </c>
      <c r="U4">
        <v>30000</v>
      </c>
      <c r="V4">
        <v>285.60000000000002</v>
      </c>
      <c r="W4">
        <v>332.4384</v>
      </c>
      <c r="X4">
        <v>150</v>
      </c>
      <c r="Y4">
        <v>10</v>
      </c>
      <c r="Z4">
        <v>0.1</v>
      </c>
      <c r="AA4">
        <v>44879.184000000001</v>
      </c>
    </row>
    <row r="5" spans="1:27">
      <c r="A5">
        <v>2</v>
      </c>
      <c r="B5" t="s">
        <v>13</v>
      </c>
      <c r="C5" t="s">
        <v>14</v>
      </c>
      <c r="D5" t="s">
        <v>97</v>
      </c>
      <c r="E5" t="s">
        <v>15</v>
      </c>
      <c r="F5" t="s">
        <v>23</v>
      </c>
      <c r="G5">
        <v>20</v>
      </c>
      <c r="H5" t="s">
        <v>25</v>
      </c>
      <c r="I5" t="s">
        <v>104</v>
      </c>
      <c r="J5">
        <v>40</v>
      </c>
      <c r="K5" t="s">
        <v>99</v>
      </c>
      <c r="L5" t="s">
        <v>105</v>
      </c>
      <c r="M5" t="s">
        <v>27</v>
      </c>
      <c r="N5" t="s">
        <v>106</v>
      </c>
      <c r="O5" t="s">
        <v>102</v>
      </c>
      <c r="P5" t="s">
        <v>103</v>
      </c>
      <c r="Q5">
        <v>560001</v>
      </c>
      <c r="R5" t="s">
        <v>21</v>
      </c>
      <c r="U5">
        <v>25000</v>
      </c>
      <c r="V5">
        <v>238.00000000000003</v>
      </c>
      <c r="W5">
        <v>277.03200000000004</v>
      </c>
      <c r="X5">
        <v>300</v>
      </c>
      <c r="Y5">
        <v>10</v>
      </c>
      <c r="Z5">
        <v>0.1</v>
      </c>
      <c r="AA5">
        <v>74798.640000000014</v>
      </c>
    </row>
    <row r="6" spans="1:27">
      <c r="A6">
        <v>3</v>
      </c>
      <c r="B6" t="s">
        <v>13</v>
      </c>
      <c r="C6" t="s">
        <v>14</v>
      </c>
      <c r="D6" t="s">
        <v>97</v>
      </c>
      <c r="E6" t="s">
        <v>15</v>
      </c>
      <c r="F6" t="s">
        <v>29</v>
      </c>
      <c r="G6">
        <v>18</v>
      </c>
      <c r="H6" t="s">
        <v>31</v>
      </c>
      <c r="I6" t="s">
        <v>107</v>
      </c>
      <c r="J6">
        <v>25</v>
      </c>
      <c r="K6" t="s">
        <v>99</v>
      </c>
      <c r="L6" t="s">
        <v>108</v>
      </c>
      <c r="M6" t="s">
        <v>33</v>
      </c>
      <c r="N6" t="s">
        <v>109</v>
      </c>
      <c r="O6" t="s">
        <v>102</v>
      </c>
      <c r="P6" t="s">
        <v>103</v>
      </c>
      <c r="Q6">
        <v>560001</v>
      </c>
      <c r="R6" t="s">
        <v>21</v>
      </c>
      <c r="U6">
        <v>25000</v>
      </c>
      <c r="V6">
        <v>238.00000000000003</v>
      </c>
      <c r="W6">
        <v>277.03200000000004</v>
      </c>
      <c r="X6">
        <v>200</v>
      </c>
      <c r="Y6">
        <v>10</v>
      </c>
      <c r="Z6">
        <v>0.1</v>
      </c>
      <c r="AA6">
        <v>49865.760000000009</v>
      </c>
    </row>
    <row r="7" spans="1:27">
      <c r="A7">
        <v>4</v>
      </c>
      <c r="B7" t="s">
        <v>35</v>
      </c>
      <c r="C7" t="s">
        <v>36</v>
      </c>
      <c r="D7" t="s">
        <v>110</v>
      </c>
      <c r="E7" t="s">
        <v>15</v>
      </c>
      <c r="F7" t="s">
        <v>16</v>
      </c>
      <c r="G7">
        <v>15</v>
      </c>
      <c r="H7" t="s">
        <v>18</v>
      </c>
      <c r="I7" t="s">
        <v>98</v>
      </c>
      <c r="J7">
        <v>30</v>
      </c>
      <c r="K7" t="s">
        <v>99</v>
      </c>
      <c r="L7" t="s">
        <v>100</v>
      </c>
      <c r="M7" t="s">
        <v>37</v>
      </c>
      <c r="N7" t="s">
        <v>111</v>
      </c>
      <c r="O7" t="s">
        <v>112</v>
      </c>
      <c r="P7" t="s">
        <v>103</v>
      </c>
      <c r="Q7">
        <v>200001</v>
      </c>
      <c r="R7" t="s">
        <v>38</v>
      </c>
      <c r="U7">
        <v>22000</v>
      </c>
      <c r="V7">
        <v>209.44000000000003</v>
      </c>
      <c r="W7">
        <v>243.78816</v>
      </c>
      <c r="X7">
        <v>500</v>
      </c>
      <c r="Y7">
        <v>10</v>
      </c>
      <c r="Z7">
        <v>0.1</v>
      </c>
      <c r="AA7">
        <v>109704.67200000001</v>
      </c>
    </row>
    <row r="8" spans="1:27">
      <c r="A8">
        <v>5</v>
      </c>
      <c r="B8" t="s">
        <v>35</v>
      </c>
      <c r="C8" t="s">
        <v>36</v>
      </c>
      <c r="D8" t="s">
        <v>110</v>
      </c>
      <c r="E8" t="s">
        <v>15</v>
      </c>
      <c r="F8" t="s">
        <v>23</v>
      </c>
      <c r="G8">
        <v>20</v>
      </c>
      <c r="H8" t="s">
        <v>25</v>
      </c>
      <c r="I8" t="s">
        <v>104</v>
      </c>
      <c r="J8">
        <v>40</v>
      </c>
      <c r="K8" t="s">
        <v>99</v>
      </c>
      <c r="L8" t="s">
        <v>105</v>
      </c>
      <c r="M8" t="s">
        <v>40</v>
      </c>
      <c r="N8" t="s">
        <v>113</v>
      </c>
      <c r="O8" t="s">
        <v>112</v>
      </c>
      <c r="P8" t="s">
        <v>103</v>
      </c>
      <c r="Q8">
        <v>200001</v>
      </c>
      <c r="R8" t="s">
        <v>38</v>
      </c>
      <c r="T8">
        <v>5000</v>
      </c>
      <c r="V8">
        <v>27.31</v>
      </c>
      <c r="W8">
        <v>31.788839999999997</v>
      </c>
      <c r="X8">
        <v>1000</v>
      </c>
      <c r="Y8">
        <v>10</v>
      </c>
      <c r="Z8">
        <v>0.1</v>
      </c>
      <c r="AA8">
        <v>28609.955999999998</v>
      </c>
    </row>
    <row r="9" spans="1:27">
      <c r="A9">
        <v>6</v>
      </c>
      <c r="B9" t="s">
        <v>35</v>
      </c>
      <c r="C9" t="s">
        <v>36</v>
      </c>
      <c r="D9" t="s">
        <v>110</v>
      </c>
      <c r="E9" t="s">
        <v>15</v>
      </c>
      <c r="F9" t="s">
        <v>29</v>
      </c>
      <c r="G9">
        <v>0</v>
      </c>
      <c r="H9" t="s">
        <v>31</v>
      </c>
      <c r="I9" t="s">
        <v>114</v>
      </c>
      <c r="J9">
        <v>40.229999999999997</v>
      </c>
      <c r="K9" t="s">
        <v>115</v>
      </c>
      <c r="L9" t="s">
        <v>116</v>
      </c>
      <c r="M9" t="s">
        <v>43</v>
      </c>
      <c r="N9" t="s">
        <v>117</v>
      </c>
      <c r="O9" t="s">
        <v>112</v>
      </c>
      <c r="P9" t="s">
        <v>103</v>
      </c>
      <c r="Q9">
        <v>200001</v>
      </c>
      <c r="R9" t="s">
        <v>38</v>
      </c>
      <c r="T9">
        <v>3500</v>
      </c>
      <c r="V9">
        <v>19.117000000000001</v>
      </c>
      <c r="W9">
        <v>22.252188</v>
      </c>
      <c r="X9">
        <v>800</v>
      </c>
      <c r="Y9">
        <v>10</v>
      </c>
      <c r="Z9">
        <v>0.1</v>
      </c>
      <c r="AA9">
        <v>16021.575360000001</v>
      </c>
    </row>
    <row r="10" spans="1:27">
      <c r="A10">
        <v>13</v>
      </c>
      <c r="B10" t="s">
        <v>13</v>
      </c>
      <c r="C10" t="s">
        <v>14</v>
      </c>
      <c r="D10" t="s">
        <v>97</v>
      </c>
      <c r="E10" t="s">
        <v>65</v>
      </c>
      <c r="F10" t="s">
        <v>16</v>
      </c>
      <c r="G10">
        <v>15</v>
      </c>
      <c r="H10" t="s">
        <v>18</v>
      </c>
      <c r="I10" t="s">
        <v>98</v>
      </c>
      <c r="J10">
        <v>30</v>
      </c>
      <c r="K10" t="s">
        <v>99</v>
      </c>
      <c r="L10" t="s">
        <v>100</v>
      </c>
      <c r="M10" t="s">
        <v>20</v>
      </c>
      <c r="N10" t="s">
        <v>101</v>
      </c>
      <c r="O10" t="s">
        <v>102</v>
      </c>
      <c r="P10" t="s">
        <v>103</v>
      </c>
      <c r="Q10">
        <v>560001</v>
      </c>
      <c r="R10" t="s">
        <v>21</v>
      </c>
      <c r="S10">
        <v>900</v>
      </c>
      <c r="V10">
        <v>900</v>
      </c>
      <c r="W10">
        <v>1047.5999999999999</v>
      </c>
      <c r="X10">
        <v>160</v>
      </c>
      <c r="Y10">
        <v>0</v>
      </c>
      <c r="Z10">
        <v>0</v>
      </c>
      <c r="AA10">
        <v>167616</v>
      </c>
    </row>
    <row r="11" spans="1:27">
      <c r="A11">
        <v>14</v>
      </c>
      <c r="B11" t="s">
        <v>13</v>
      </c>
      <c r="C11" t="s">
        <v>14</v>
      </c>
      <c r="D11" t="s">
        <v>97</v>
      </c>
      <c r="E11" t="s">
        <v>65</v>
      </c>
      <c r="F11" t="s">
        <v>23</v>
      </c>
      <c r="G11">
        <v>17.515000000000001</v>
      </c>
      <c r="H11" t="s">
        <v>25</v>
      </c>
      <c r="I11" t="s">
        <v>118</v>
      </c>
      <c r="J11">
        <v>40</v>
      </c>
      <c r="K11" t="s">
        <v>99</v>
      </c>
      <c r="L11" t="s">
        <v>105</v>
      </c>
      <c r="M11" t="s">
        <v>27</v>
      </c>
      <c r="N11" t="s">
        <v>106</v>
      </c>
      <c r="O11" t="s">
        <v>102</v>
      </c>
      <c r="P11" t="s">
        <v>103</v>
      </c>
      <c r="Q11">
        <v>560001</v>
      </c>
      <c r="R11" t="s">
        <v>21</v>
      </c>
      <c r="S11">
        <v>1050</v>
      </c>
      <c r="V11">
        <v>1050</v>
      </c>
      <c r="W11">
        <v>1222.1999999999998</v>
      </c>
      <c r="X11">
        <v>350</v>
      </c>
      <c r="Y11">
        <v>0</v>
      </c>
      <c r="Z11">
        <v>0</v>
      </c>
      <c r="AA11">
        <v>427769.99999999994</v>
      </c>
    </row>
    <row r="12" spans="1:27">
      <c r="A12">
        <v>15</v>
      </c>
      <c r="B12" t="s">
        <v>13</v>
      </c>
      <c r="C12" t="s">
        <v>14</v>
      </c>
      <c r="D12" t="s">
        <v>97</v>
      </c>
      <c r="E12" t="s">
        <v>65</v>
      </c>
      <c r="F12" t="s">
        <v>29</v>
      </c>
      <c r="G12">
        <v>18</v>
      </c>
      <c r="H12" t="s">
        <v>31</v>
      </c>
      <c r="I12" t="s">
        <v>107</v>
      </c>
      <c r="J12">
        <v>25</v>
      </c>
      <c r="K12" t="s">
        <v>99</v>
      </c>
      <c r="L12" t="s">
        <v>108</v>
      </c>
      <c r="M12" t="s">
        <v>33</v>
      </c>
      <c r="N12" t="s">
        <v>109</v>
      </c>
      <c r="O12" t="s">
        <v>102</v>
      </c>
      <c r="P12" t="s">
        <v>103</v>
      </c>
      <c r="Q12">
        <v>560001</v>
      </c>
      <c r="R12" t="s">
        <v>21</v>
      </c>
      <c r="U12">
        <v>30000</v>
      </c>
      <c r="V12">
        <v>285.60000000000002</v>
      </c>
      <c r="W12">
        <v>332.4384</v>
      </c>
      <c r="X12">
        <v>220</v>
      </c>
      <c r="Y12">
        <v>0</v>
      </c>
      <c r="Z12">
        <v>0</v>
      </c>
      <c r="AA12">
        <v>73136.448000000004</v>
      </c>
    </row>
    <row r="13" spans="1:27">
      <c r="A13">
        <v>16</v>
      </c>
      <c r="B13" t="s">
        <v>35</v>
      </c>
      <c r="C13" t="s">
        <v>36</v>
      </c>
      <c r="D13" t="s">
        <v>110</v>
      </c>
      <c r="E13" t="s">
        <v>65</v>
      </c>
      <c r="F13" t="s">
        <v>16</v>
      </c>
      <c r="G13">
        <v>15</v>
      </c>
      <c r="H13" t="s">
        <v>18</v>
      </c>
      <c r="I13" t="s">
        <v>98</v>
      </c>
      <c r="J13">
        <v>48.28</v>
      </c>
      <c r="K13" t="s">
        <v>115</v>
      </c>
      <c r="L13" t="s">
        <v>119</v>
      </c>
      <c r="M13" t="s">
        <v>37</v>
      </c>
      <c r="N13" t="s">
        <v>111</v>
      </c>
      <c r="O13" t="s">
        <v>112</v>
      </c>
      <c r="P13" t="s">
        <v>103</v>
      </c>
      <c r="Q13">
        <v>200001</v>
      </c>
      <c r="R13" t="s">
        <v>38</v>
      </c>
      <c r="U13">
        <v>25000</v>
      </c>
      <c r="V13">
        <v>238.00000000000003</v>
      </c>
      <c r="W13">
        <v>277.03200000000004</v>
      </c>
      <c r="X13">
        <v>550</v>
      </c>
      <c r="Y13">
        <v>0</v>
      </c>
      <c r="Z13">
        <v>0</v>
      </c>
      <c r="AA13">
        <v>152367.60000000003</v>
      </c>
    </row>
    <row r="14" spans="1:27">
      <c r="A14">
        <v>17</v>
      </c>
      <c r="B14" t="s">
        <v>35</v>
      </c>
      <c r="C14" t="s">
        <v>36</v>
      </c>
      <c r="D14" t="s">
        <v>110</v>
      </c>
      <c r="E14" t="s">
        <v>65</v>
      </c>
      <c r="F14" t="s">
        <v>23</v>
      </c>
      <c r="G14">
        <v>20</v>
      </c>
      <c r="H14" t="s">
        <v>25</v>
      </c>
      <c r="I14" t="s">
        <v>104</v>
      </c>
      <c r="J14">
        <v>40</v>
      </c>
      <c r="K14" t="s">
        <v>99</v>
      </c>
      <c r="L14" t="s">
        <v>105</v>
      </c>
      <c r="M14" t="s">
        <v>40</v>
      </c>
      <c r="N14" t="s">
        <v>113</v>
      </c>
      <c r="O14" t="s">
        <v>112</v>
      </c>
      <c r="P14" t="s">
        <v>103</v>
      </c>
      <c r="Q14">
        <v>200001</v>
      </c>
      <c r="R14" t="s">
        <v>38</v>
      </c>
      <c r="U14">
        <v>22000</v>
      </c>
      <c r="V14">
        <v>209.44000000000003</v>
      </c>
      <c r="W14">
        <v>243.78816</v>
      </c>
      <c r="X14">
        <v>1200</v>
      </c>
      <c r="Y14">
        <v>0</v>
      </c>
      <c r="Z14">
        <v>0</v>
      </c>
      <c r="AA14">
        <v>292545.79200000002</v>
      </c>
    </row>
    <row r="15" spans="1:27">
      <c r="A15">
        <v>18</v>
      </c>
      <c r="B15" t="s">
        <v>35</v>
      </c>
      <c r="C15" t="s">
        <v>36</v>
      </c>
      <c r="D15" t="s">
        <v>110</v>
      </c>
      <c r="E15" t="s">
        <v>65</v>
      </c>
      <c r="F15" t="s">
        <v>29</v>
      </c>
      <c r="G15">
        <v>18</v>
      </c>
      <c r="H15" t="s">
        <v>31</v>
      </c>
      <c r="I15" t="s">
        <v>107</v>
      </c>
      <c r="J15">
        <v>25</v>
      </c>
      <c r="K15" t="s">
        <v>99</v>
      </c>
      <c r="L15" t="s">
        <v>108</v>
      </c>
      <c r="M15" t="s">
        <v>43</v>
      </c>
      <c r="N15" t="s">
        <v>117</v>
      </c>
      <c r="O15" t="s">
        <v>112</v>
      </c>
      <c r="P15" t="s">
        <v>103</v>
      </c>
      <c r="Q15">
        <v>200001</v>
      </c>
      <c r="R15" t="s">
        <v>38</v>
      </c>
      <c r="T15">
        <v>5000</v>
      </c>
      <c r="V15">
        <v>27.31</v>
      </c>
      <c r="W15">
        <v>31.788839999999997</v>
      </c>
      <c r="X15">
        <v>850</v>
      </c>
      <c r="Y15">
        <v>0</v>
      </c>
      <c r="Z15">
        <v>0</v>
      </c>
      <c r="AA15">
        <v>27020.513999999996</v>
      </c>
    </row>
    <row r="16" spans="1:27">
      <c r="A16">
        <v>25</v>
      </c>
      <c r="B16" t="s">
        <v>13</v>
      </c>
      <c r="C16" t="s">
        <v>14</v>
      </c>
      <c r="D16" t="s">
        <v>97</v>
      </c>
      <c r="E16" t="s">
        <v>66</v>
      </c>
      <c r="F16" t="s">
        <v>16</v>
      </c>
      <c r="G16">
        <v>15</v>
      </c>
      <c r="H16" t="s">
        <v>18</v>
      </c>
      <c r="I16" t="s">
        <v>98</v>
      </c>
      <c r="J16">
        <v>30</v>
      </c>
      <c r="K16" t="s">
        <v>99</v>
      </c>
      <c r="L16" t="s">
        <v>100</v>
      </c>
      <c r="M16" t="s">
        <v>20</v>
      </c>
      <c r="N16" t="s">
        <v>101</v>
      </c>
      <c r="O16" t="s">
        <v>102</v>
      </c>
      <c r="P16" t="s">
        <v>103</v>
      </c>
      <c r="Q16">
        <v>560001</v>
      </c>
      <c r="R16" t="s">
        <v>21</v>
      </c>
      <c r="S16">
        <v>1100</v>
      </c>
      <c r="V16">
        <v>1100</v>
      </c>
      <c r="W16">
        <v>1280.3999999999999</v>
      </c>
      <c r="X16">
        <v>160</v>
      </c>
      <c r="Y16">
        <v>0</v>
      </c>
      <c r="Z16">
        <v>0</v>
      </c>
      <c r="AA16">
        <v>204863.99999999997</v>
      </c>
    </row>
    <row r="17" spans="1:27">
      <c r="A17">
        <v>26</v>
      </c>
      <c r="B17" t="s">
        <v>13</v>
      </c>
      <c r="C17" t="s">
        <v>14</v>
      </c>
      <c r="D17" t="s">
        <v>97</v>
      </c>
      <c r="E17" t="s">
        <v>66</v>
      </c>
      <c r="F17" t="s">
        <v>23</v>
      </c>
      <c r="G17">
        <v>17.515000000000001</v>
      </c>
      <c r="H17" t="s">
        <v>25</v>
      </c>
      <c r="I17" t="s">
        <v>118</v>
      </c>
      <c r="J17">
        <v>40</v>
      </c>
      <c r="K17" t="s">
        <v>99</v>
      </c>
      <c r="L17" t="s">
        <v>105</v>
      </c>
      <c r="M17" t="s">
        <v>27</v>
      </c>
      <c r="N17" t="s">
        <v>106</v>
      </c>
      <c r="O17" t="s">
        <v>102</v>
      </c>
      <c r="P17" t="s">
        <v>103</v>
      </c>
      <c r="Q17">
        <v>560001</v>
      </c>
      <c r="R17" t="s">
        <v>21</v>
      </c>
      <c r="S17">
        <v>900</v>
      </c>
      <c r="V17">
        <v>900</v>
      </c>
      <c r="W17">
        <v>1047.5999999999999</v>
      </c>
      <c r="X17">
        <v>350</v>
      </c>
      <c r="Y17">
        <v>0</v>
      </c>
      <c r="Z17">
        <v>0</v>
      </c>
      <c r="AA17">
        <v>366659.99999999994</v>
      </c>
    </row>
    <row r="18" spans="1:27">
      <c r="A18">
        <v>27</v>
      </c>
      <c r="B18" t="s">
        <v>13</v>
      </c>
      <c r="C18" t="s">
        <v>14</v>
      </c>
      <c r="D18" t="s">
        <v>97</v>
      </c>
      <c r="E18" t="s">
        <v>66</v>
      </c>
      <c r="F18" t="s">
        <v>29</v>
      </c>
      <c r="G18">
        <v>18</v>
      </c>
      <c r="H18" t="s">
        <v>31</v>
      </c>
      <c r="I18" t="s">
        <v>107</v>
      </c>
      <c r="J18">
        <v>25</v>
      </c>
      <c r="K18" t="s">
        <v>99</v>
      </c>
      <c r="L18" t="s">
        <v>108</v>
      </c>
      <c r="M18" t="s">
        <v>33</v>
      </c>
      <c r="N18" t="s">
        <v>109</v>
      </c>
      <c r="O18" t="s">
        <v>102</v>
      </c>
      <c r="P18" t="s">
        <v>103</v>
      </c>
      <c r="Q18">
        <v>560001</v>
      </c>
      <c r="R18" t="s">
        <v>21</v>
      </c>
      <c r="S18">
        <v>900</v>
      </c>
      <c r="V18">
        <v>900</v>
      </c>
      <c r="W18">
        <v>1047.5999999999999</v>
      </c>
      <c r="X18">
        <v>220</v>
      </c>
      <c r="Y18">
        <v>0</v>
      </c>
      <c r="Z18">
        <v>0</v>
      </c>
      <c r="AA18">
        <v>230471.99999999997</v>
      </c>
    </row>
    <row r="19" spans="1:27">
      <c r="A19">
        <v>28</v>
      </c>
      <c r="B19" t="s">
        <v>35</v>
      </c>
      <c r="C19" t="s">
        <v>36</v>
      </c>
      <c r="D19" t="s">
        <v>110</v>
      </c>
      <c r="E19" t="s">
        <v>66</v>
      </c>
      <c r="F19" t="s">
        <v>16</v>
      </c>
      <c r="G19">
        <v>15</v>
      </c>
      <c r="H19" t="s">
        <v>18</v>
      </c>
      <c r="I19" t="s">
        <v>98</v>
      </c>
      <c r="J19">
        <v>30</v>
      </c>
      <c r="K19" t="s">
        <v>99</v>
      </c>
      <c r="L19" t="s">
        <v>100</v>
      </c>
      <c r="M19" t="s">
        <v>37</v>
      </c>
      <c r="N19" t="s">
        <v>111</v>
      </c>
      <c r="O19" t="s">
        <v>112</v>
      </c>
      <c r="P19" t="s">
        <v>103</v>
      </c>
      <c r="Q19">
        <v>200001</v>
      </c>
      <c r="R19" t="s">
        <v>38</v>
      </c>
      <c r="S19">
        <v>1050</v>
      </c>
      <c r="V19">
        <v>1050</v>
      </c>
      <c r="W19">
        <v>1222.1999999999998</v>
      </c>
      <c r="X19">
        <v>550</v>
      </c>
      <c r="Y19">
        <v>0</v>
      </c>
      <c r="Z19">
        <v>0</v>
      </c>
      <c r="AA19">
        <v>672209.99999999988</v>
      </c>
    </row>
    <row r="20" spans="1:27">
      <c r="A20">
        <v>29</v>
      </c>
      <c r="B20" t="s">
        <v>35</v>
      </c>
      <c r="C20" t="s">
        <v>36</v>
      </c>
      <c r="D20" t="s">
        <v>110</v>
      </c>
      <c r="E20" t="s">
        <v>66</v>
      </c>
      <c r="F20" t="s">
        <v>23</v>
      </c>
      <c r="G20">
        <v>20</v>
      </c>
      <c r="H20" t="s">
        <v>25</v>
      </c>
      <c r="I20" t="s">
        <v>104</v>
      </c>
      <c r="J20">
        <v>64.37</v>
      </c>
      <c r="K20" t="s">
        <v>115</v>
      </c>
      <c r="L20" t="s">
        <v>120</v>
      </c>
      <c r="M20" t="s">
        <v>40</v>
      </c>
      <c r="N20" t="s">
        <v>113</v>
      </c>
      <c r="O20" t="s">
        <v>112</v>
      </c>
      <c r="P20" t="s">
        <v>103</v>
      </c>
      <c r="Q20">
        <v>200001</v>
      </c>
      <c r="R20" t="s">
        <v>38</v>
      </c>
      <c r="U20">
        <v>30000</v>
      </c>
      <c r="V20">
        <v>285.60000000000002</v>
      </c>
      <c r="W20">
        <v>332.4384</v>
      </c>
      <c r="X20">
        <v>1200</v>
      </c>
      <c r="Y20">
        <v>0</v>
      </c>
      <c r="Z20">
        <v>0</v>
      </c>
      <c r="AA20">
        <v>398926.08000000002</v>
      </c>
    </row>
    <row r="21" spans="1:27">
      <c r="A21">
        <v>30</v>
      </c>
      <c r="B21" t="s">
        <v>35</v>
      </c>
      <c r="C21" t="s">
        <v>36</v>
      </c>
      <c r="D21" t="s">
        <v>110</v>
      </c>
      <c r="E21" t="s">
        <v>66</v>
      </c>
      <c r="F21" t="s">
        <v>29</v>
      </c>
      <c r="G21">
        <v>18</v>
      </c>
      <c r="H21" t="s">
        <v>31</v>
      </c>
      <c r="I21" t="s">
        <v>107</v>
      </c>
      <c r="J21">
        <v>25</v>
      </c>
      <c r="K21" t="s">
        <v>99</v>
      </c>
      <c r="L21" t="s">
        <v>108</v>
      </c>
      <c r="M21" t="s">
        <v>43</v>
      </c>
      <c r="N21" t="s">
        <v>117</v>
      </c>
      <c r="O21" t="s">
        <v>112</v>
      </c>
      <c r="P21" t="s">
        <v>103</v>
      </c>
      <c r="Q21">
        <v>200001</v>
      </c>
      <c r="R21" t="s">
        <v>38</v>
      </c>
      <c r="U21">
        <v>25000</v>
      </c>
      <c r="V21">
        <v>238.00000000000003</v>
      </c>
      <c r="W21">
        <v>277.03200000000004</v>
      </c>
      <c r="X21">
        <v>850</v>
      </c>
      <c r="Y21">
        <v>0</v>
      </c>
      <c r="Z21">
        <v>0</v>
      </c>
      <c r="AA21">
        <v>235477.20000000004</v>
      </c>
    </row>
    <row r="22" spans="1:27">
      <c r="A22">
        <v>37</v>
      </c>
      <c r="B22" t="s">
        <v>13</v>
      </c>
      <c r="C22" t="s">
        <v>14</v>
      </c>
      <c r="D22" t="s">
        <v>97</v>
      </c>
      <c r="E22" t="s">
        <v>67</v>
      </c>
      <c r="F22" t="s">
        <v>16</v>
      </c>
      <c r="G22">
        <v>15</v>
      </c>
      <c r="H22" t="s">
        <v>18</v>
      </c>
      <c r="I22" t="s">
        <v>98</v>
      </c>
      <c r="J22">
        <v>30</v>
      </c>
      <c r="K22" t="s">
        <v>99</v>
      </c>
      <c r="L22" t="s">
        <v>100</v>
      </c>
      <c r="M22" t="s">
        <v>20</v>
      </c>
      <c r="N22" t="s">
        <v>101</v>
      </c>
      <c r="O22" t="s">
        <v>102</v>
      </c>
      <c r="P22" t="s">
        <v>103</v>
      </c>
      <c r="Q22">
        <v>560001</v>
      </c>
      <c r="R22" t="s">
        <v>21</v>
      </c>
      <c r="S22">
        <v>800</v>
      </c>
      <c r="V22">
        <v>800</v>
      </c>
      <c r="W22">
        <v>931.19999999999993</v>
      </c>
      <c r="X22">
        <v>200</v>
      </c>
      <c r="Y22">
        <v>0</v>
      </c>
      <c r="Z22">
        <v>0</v>
      </c>
      <c r="AA22">
        <v>186240</v>
      </c>
    </row>
    <row r="23" spans="1:27">
      <c r="A23">
        <v>38</v>
      </c>
      <c r="B23" t="s">
        <v>13</v>
      </c>
      <c r="C23" t="s">
        <v>14</v>
      </c>
      <c r="D23" t="s">
        <v>97</v>
      </c>
      <c r="E23" t="s">
        <v>67</v>
      </c>
      <c r="F23" t="s">
        <v>23</v>
      </c>
      <c r="G23">
        <v>20</v>
      </c>
      <c r="H23" t="s">
        <v>25</v>
      </c>
      <c r="I23" t="s">
        <v>104</v>
      </c>
      <c r="J23">
        <v>40</v>
      </c>
      <c r="K23" t="s">
        <v>99</v>
      </c>
      <c r="L23" t="s">
        <v>105</v>
      </c>
      <c r="M23" t="s">
        <v>27</v>
      </c>
      <c r="N23" t="s">
        <v>106</v>
      </c>
      <c r="O23" t="s">
        <v>102</v>
      </c>
      <c r="P23" t="s">
        <v>103</v>
      </c>
      <c r="Q23">
        <v>560001</v>
      </c>
      <c r="R23" t="s">
        <v>21</v>
      </c>
      <c r="S23">
        <v>950</v>
      </c>
      <c r="V23">
        <v>950</v>
      </c>
      <c r="W23">
        <v>1105.8</v>
      </c>
      <c r="X23">
        <v>450</v>
      </c>
      <c r="Y23">
        <v>0</v>
      </c>
      <c r="Z23">
        <v>0</v>
      </c>
      <c r="AA23">
        <v>497610</v>
      </c>
    </row>
    <row r="24" spans="1:27">
      <c r="A24">
        <v>39</v>
      </c>
      <c r="B24" t="s">
        <v>13</v>
      </c>
      <c r="C24" t="s">
        <v>14</v>
      </c>
      <c r="D24" t="s">
        <v>97</v>
      </c>
      <c r="E24" t="s">
        <v>67</v>
      </c>
      <c r="F24" t="s">
        <v>29</v>
      </c>
      <c r="G24">
        <v>18</v>
      </c>
      <c r="H24" t="s">
        <v>31</v>
      </c>
      <c r="I24" t="s">
        <v>107</v>
      </c>
      <c r="J24">
        <v>25</v>
      </c>
      <c r="K24" t="s">
        <v>99</v>
      </c>
      <c r="L24" t="s">
        <v>108</v>
      </c>
      <c r="M24" t="s">
        <v>33</v>
      </c>
      <c r="N24" t="s">
        <v>109</v>
      </c>
      <c r="O24" t="s">
        <v>102</v>
      </c>
      <c r="P24" t="s">
        <v>103</v>
      </c>
      <c r="Q24">
        <v>560001</v>
      </c>
      <c r="R24" t="s">
        <v>21</v>
      </c>
      <c r="S24">
        <v>1100</v>
      </c>
      <c r="V24">
        <v>1100</v>
      </c>
      <c r="W24">
        <v>1280.3999999999999</v>
      </c>
      <c r="X24">
        <v>300</v>
      </c>
      <c r="Y24">
        <v>0</v>
      </c>
      <c r="Z24">
        <v>0</v>
      </c>
      <c r="AA24">
        <v>384119.99999999994</v>
      </c>
    </row>
    <row r="25" spans="1:27">
      <c r="A25">
        <v>40</v>
      </c>
      <c r="B25" t="s">
        <v>35</v>
      </c>
      <c r="C25" t="s">
        <v>36</v>
      </c>
      <c r="D25" t="s">
        <v>110</v>
      </c>
      <c r="E25" t="s">
        <v>67</v>
      </c>
      <c r="F25" t="s">
        <v>16</v>
      </c>
      <c r="G25">
        <v>17.515000000000001</v>
      </c>
      <c r="H25" t="s">
        <v>18</v>
      </c>
      <c r="I25" t="s">
        <v>121</v>
      </c>
      <c r="J25">
        <v>30</v>
      </c>
      <c r="K25" t="s">
        <v>99</v>
      </c>
      <c r="L25" t="s">
        <v>100</v>
      </c>
      <c r="M25" t="s">
        <v>37</v>
      </c>
      <c r="N25" t="s">
        <v>111</v>
      </c>
      <c r="O25" t="s">
        <v>112</v>
      </c>
      <c r="P25" t="s">
        <v>103</v>
      </c>
      <c r="Q25">
        <v>200001</v>
      </c>
      <c r="R25" t="s">
        <v>38</v>
      </c>
      <c r="S25">
        <v>900</v>
      </c>
      <c r="V25">
        <v>900</v>
      </c>
      <c r="W25">
        <v>1047.5999999999999</v>
      </c>
      <c r="X25">
        <v>700</v>
      </c>
      <c r="Y25">
        <v>0</v>
      </c>
      <c r="Z25">
        <v>0</v>
      </c>
      <c r="AA25">
        <v>733319.99999999988</v>
      </c>
    </row>
    <row r="26" spans="1:27">
      <c r="A26">
        <v>41</v>
      </c>
      <c r="B26" t="s">
        <v>35</v>
      </c>
      <c r="C26" t="s">
        <v>36</v>
      </c>
      <c r="D26" t="s">
        <v>110</v>
      </c>
      <c r="E26" t="s">
        <v>67</v>
      </c>
      <c r="F26" t="s">
        <v>23</v>
      </c>
      <c r="G26">
        <v>20</v>
      </c>
      <c r="H26" t="s">
        <v>25</v>
      </c>
      <c r="I26" t="s">
        <v>104</v>
      </c>
      <c r="J26">
        <v>40</v>
      </c>
      <c r="K26" t="s">
        <v>99</v>
      </c>
      <c r="L26" t="s">
        <v>105</v>
      </c>
      <c r="M26" t="s">
        <v>40</v>
      </c>
      <c r="N26" t="s">
        <v>113</v>
      </c>
      <c r="O26" t="s">
        <v>112</v>
      </c>
      <c r="P26" t="s">
        <v>103</v>
      </c>
      <c r="Q26">
        <v>200001</v>
      </c>
      <c r="R26" t="s">
        <v>38</v>
      </c>
      <c r="S26">
        <v>1050</v>
      </c>
      <c r="V26">
        <v>1050</v>
      </c>
      <c r="W26">
        <v>1222.1999999999998</v>
      </c>
      <c r="X26">
        <v>1600</v>
      </c>
      <c r="Y26">
        <v>0</v>
      </c>
      <c r="Z26">
        <v>0</v>
      </c>
      <c r="AA26">
        <v>1955519.9999999998</v>
      </c>
    </row>
    <row r="27" spans="1:27">
      <c r="A27">
        <v>42</v>
      </c>
      <c r="B27" t="s">
        <v>35</v>
      </c>
      <c r="C27" t="s">
        <v>36</v>
      </c>
      <c r="D27" t="s">
        <v>110</v>
      </c>
      <c r="E27" t="s">
        <v>67</v>
      </c>
      <c r="F27" t="s">
        <v>29</v>
      </c>
      <c r="G27">
        <v>18</v>
      </c>
      <c r="H27" t="s">
        <v>31</v>
      </c>
      <c r="I27" t="s">
        <v>107</v>
      </c>
      <c r="J27">
        <v>25</v>
      </c>
      <c r="K27" t="s">
        <v>99</v>
      </c>
      <c r="L27" t="s">
        <v>108</v>
      </c>
      <c r="M27" t="s">
        <v>43</v>
      </c>
      <c r="N27" t="s">
        <v>117</v>
      </c>
      <c r="O27" t="s">
        <v>112</v>
      </c>
      <c r="P27" t="s">
        <v>103</v>
      </c>
      <c r="Q27">
        <v>200001</v>
      </c>
      <c r="R27" t="s">
        <v>38</v>
      </c>
      <c r="U27">
        <v>30000</v>
      </c>
      <c r="V27">
        <v>285.60000000000002</v>
      </c>
      <c r="W27">
        <v>332.4384</v>
      </c>
      <c r="X27">
        <v>1000</v>
      </c>
      <c r="Y27">
        <v>0</v>
      </c>
      <c r="Z27">
        <v>0</v>
      </c>
      <c r="AA27">
        <v>332438.40000000002</v>
      </c>
    </row>
    <row r="28" spans="1:27">
      <c r="A28">
        <v>49</v>
      </c>
      <c r="B28" t="s">
        <v>13</v>
      </c>
      <c r="C28" t="s">
        <v>14</v>
      </c>
      <c r="D28" t="s">
        <v>97</v>
      </c>
      <c r="E28" t="s">
        <v>68</v>
      </c>
      <c r="F28" t="s">
        <v>16</v>
      </c>
      <c r="G28">
        <v>15</v>
      </c>
      <c r="H28" t="s">
        <v>18</v>
      </c>
      <c r="I28" t="s">
        <v>98</v>
      </c>
      <c r="J28">
        <v>30</v>
      </c>
      <c r="K28" t="s">
        <v>99</v>
      </c>
      <c r="L28" t="s">
        <v>100</v>
      </c>
      <c r="M28" t="s">
        <v>20</v>
      </c>
      <c r="N28" t="s">
        <v>101</v>
      </c>
      <c r="O28" t="s">
        <v>102</v>
      </c>
      <c r="P28" t="s">
        <v>103</v>
      </c>
      <c r="Q28">
        <v>560001</v>
      </c>
      <c r="R28" t="s">
        <v>21</v>
      </c>
      <c r="S28">
        <v>1000</v>
      </c>
      <c r="V28">
        <v>1000</v>
      </c>
      <c r="W28">
        <v>1164</v>
      </c>
      <c r="X28">
        <v>200</v>
      </c>
      <c r="Y28">
        <v>0</v>
      </c>
      <c r="Z28">
        <v>0</v>
      </c>
      <c r="AA28">
        <v>232800</v>
      </c>
    </row>
    <row r="29" spans="1:27">
      <c r="A29">
        <v>50</v>
      </c>
      <c r="B29" t="s">
        <v>13</v>
      </c>
      <c r="C29" t="s">
        <v>14</v>
      </c>
      <c r="D29" t="s">
        <v>97</v>
      </c>
      <c r="E29" t="s">
        <v>68</v>
      </c>
      <c r="F29" t="s">
        <v>23</v>
      </c>
      <c r="G29">
        <v>20</v>
      </c>
      <c r="H29" t="s">
        <v>25</v>
      </c>
      <c r="I29" t="s">
        <v>104</v>
      </c>
      <c r="J29">
        <v>40</v>
      </c>
      <c r="K29" t="s">
        <v>99</v>
      </c>
      <c r="L29" t="s">
        <v>105</v>
      </c>
      <c r="M29" t="s">
        <v>27</v>
      </c>
      <c r="N29" t="s">
        <v>106</v>
      </c>
      <c r="O29" t="s">
        <v>102</v>
      </c>
      <c r="P29" t="s">
        <v>103</v>
      </c>
      <c r="Q29">
        <v>560001</v>
      </c>
      <c r="R29" t="s">
        <v>21</v>
      </c>
      <c r="S29">
        <v>800</v>
      </c>
      <c r="V29">
        <v>800</v>
      </c>
      <c r="W29">
        <v>931.19999999999993</v>
      </c>
      <c r="X29">
        <v>450</v>
      </c>
      <c r="Y29">
        <v>0</v>
      </c>
      <c r="Z29">
        <v>0</v>
      </c>
      <c r="AA29">
        <v>419039.99999999994</v>
      </c>
    </row>
    <row r="30" spans="1:27">
      <c r="A30">
        <v>51</v>
      </c>
      <c r="B30" t="s">
        <v>13</v>
      </c>
      <c r="C30" t="s">
        <v>14</v>
      </c>
      <c r="D30" t="s">
        <v>97</v>
      </c>
      <c r="E30" t="s">
        <v>68</v>
      </c>
      <c r="F30" t="s">
        <v>29</v>
      </c>
      <c r="G30">
        <v>18</v>
      </c>
      <c r="H30" t="s">
        <v>31</v>
      </c>
      <c r="I30" t="s">
        <v>107</v>
      </c>
      <c r="J30">
        <v>25</v>
      </c>
      <c r="K30" t="s">
        <v>99</v>
      </c>
      <c r="L30" t="s">
        <v>108</v>
      </c>
      <c r="M30" t="s">
        <v>33</v>
      </c>
      <c r="N30" t="s">
        <v>109</v>
      </c>
      <c r="O30" t="s">
        <v>102</v>
      </c>
      <c r="P30" t="s">
        <v>103</v>
      </c>
      <c r="Q30">
        <v>560001</v>
      </c>
      <c r="R30" t="s">
        <v>21</v>
      </c>
      <c r="S30">
        <v>950</v>
      </c>
      <c r="V30">
        <v>950</v>
      </c>
      <c r="W30">
        <v>1105.8</v>
      </c>
      <c r="X30">
        <v>350</v>
      </c>
      <c r="Y30">
        <v>0</v>
      </c>
      <c r="Z30">
        <v>0</v>
      </c>
      <c r="AA30">
        <v>387030</v>
      </c>
    </row>
    <row r="31" spans="1:27">
      <c r="A31">
        <v>52</v>
      </c>
      <c r="B31" t="s">
        <v>35</v>
      </c>
      <c r="C31" t="s">
        <v>36</v>
      </c>
      <c r="D31" t="s">
        <v>110</v>
      </c>
      <c r="E31" t="s">
        <v>68</v>
      </c>
      <c r="F31" t="s">
        <v>16</v>
      </c>
      <c r="G31">
        <v>15</v>
      </c>
      <c r="H31" t="s">
        <v>18</v>
      </c>
      <c r="I31" t="s">
        <v>98</v>
      </c>
      <c r="J31">
        <v>48.28</v>
      </c>
      <c r="K31" t="s">
        <v>115</v>
      </c>
      <c r="L31" t="s">
        <v>119</v>
      </c>
      <c r="M31" t="s">
        <v>37</v>
      </c>
      <c r="N31" t="s">
        <v>111</v>
      </c>
      <c r="O31" t="s">
        <v>112</v>
      </c>
      <c r="P31" t="s">
        <v>103</v>
      </c>
      <c r="Q31">
        <v>200001</v>
      </c>
      <c r="R31" t="s">
        <v>38</v>
      </c>
      <c r="S31">
        <v>1100</v>
      </c>
      <c r="V31">
        <v>1100</v>
      </c>
      <c r="W31">
        <v>1280.3999999999999</v>
      </c>
      <c r="X31">
        <v>700</v>
      </c>
      <c r="Y31">
        <v>0</v>
      </c>
      <c r="Z31">
        <v>0</v>
      </c>
      <c r="AA31">
        <v>896279.99999999988</v>
      </c>
    </row>
    <row r="32" spans="1:27">
      <c r="A32">
        <v>53</v>
      </c>
      <c r="B32" t="s">
        <v>35</v>
      </c>
      <c r="C32" t="s">
        <v>36</v>
      </c>
      <c r="D32" t="s">
        <v>110</v>
      </c>
      <c r="E32" t="s">
        <v>68</v>
      </c>
      <c r="F32" t="s">
        <v>23</v>
      </c>
      <c r="G32">
        <v>20</v>
      </c>
      <c r="H32" t="s">
        <v>25</v>
      </c>
      <c r="I32" t="s">
        <v>104</v>
      </c>
      <c r="J32">
        <v>40</v>
      </c>
      <c r="K32" t="s">
        <v>99</v>
      </c>
      <c r="L32" t="s">
        <v>105</v>
      </c>
      <c r="M32" t="s">
        <v>40</v>
      </c>
      <c r="N32" t="s">
        <v>113</v>
      </c>
      <c r="O32" t="s">
        <v>112</v>
      </c>
      <c r="P32" t="s">
        <v>103</v>
      </c>
      <c r="Q32">
        <v>200001</v>
      </c>
      <c r="R32" t="s">
        <v>38</v>
      </c>
      <c r="S32">
        <v>900</v>
      </c>
      <c r="V32">
        <v>900</v>
      </c>
      <c r="W32">
        <v>1047.5999999999999</v>
      </c>
      <c r="X32">
        <v>1600</v>
      </c>
      <c r="Y32">
        <v>0</v>
      </c>
      <c r="Z32">
        <v>0</v>
      </c>
      <c r="AA32">
        <v>1676159.9999999998</v>
      </c>
    </row>
    <row r="33" spans="1:27">
      <c r="A33">
        <v>54</v>
      </c>
      <c r="B33" t="s">
        <v>35</v>
      </c>
      <c r="C33" t="s">
        <v>36</v>
      </c>
      <c r="D33" t="s">
        <v>110</v>
      </c>
      <c r="E33" t="s">
        <v>68</v>
      </c>
      <c r="F33" t="s">
        <v>29</v>
      </c>
      <c r="G33">
        <v>18</v>
      </c>
      <c r="H33" t="s">
        <v>31</v>
      </c>
      <c r="I33" t="s">
        <v>107</v>
      </c>
      <c r="J33">
        <v>25</v>
      </c>
      <c r="K33" t="s">
        <v>99</v>
      </c>
      <c r="L33" t="s">
        <v>108</v>
      </c>
      <c r="M33" t="s">
        <v>43</v>
      </c>
      <c r="N33" t="s">
        <v>117</v>
      </c>
      <c r="O33" t="s">
        <v>112</v>
      </c>
      <c r="P33" t="s">
        <v>103</v>
      </c>
      <c r="Q33">
        <v>200001</v>
      </c>
      <c r="R33" t="s">
        <v>38</v>
      </c>
      <c r="S33">
        <v>1050</v>
      </c>
      <c r="V33">
        <v>1050</v>
      </c>
      <c r="W33">
        <v>1222.1999999999998</v>
      </c>
      <c r="X33">
        <v>1000</v>
      </c>
      <c r="Y33">
        <v>0</v>
      </c>
      <c r="Z33">
        <v>0</v>
      </c>
      <c r="AA33">
        <v>1222199.9999999998</v>
      </c>
    </row>
    <row r="34" spans="1:27">
      <c r="A34">
        <v>61</v>
      </c>
      <c r="B34" t="s">
        <v>13</v>
      </c>
      <c r="C34" t="s">
        <v>14</v>
      </c>
      <c r="D34" t="s">
        <v>97</v>
      </c>
      <c r="E34" t="s">
        <v>69</v>
      </c>
      <c r="F34" t="s">
        <v>16</v>
      </c>
      <c r="G34">
        <v>15</v>
      </c>
      <c r="H34" t="s">
        <v>18</v>
      </c>
      <c r="I34" t="s">
        <v>98</v>
      </c>
      <c r="J34">
        <v>30</v>
      </c>
      <c r="K34" t="s">
        <v>99</v>
      </c>
      <c r="L34" t="s">
        <v>100</v>
      </c>
      <c r="M34" t="s">
        <v>20</v>
      </c>
      <c r="N34" t="s">
        <v>101</v>
      </c>
      <c r="O34" t="s">
        <v>102</v>
      </c>
      <c r="P34" t="s">
        <v>103</v>
      </c>
      <c r="Q34">
        <v>560001</v>
      </c>
      <c r="R34" t="s">
        <v>21</v>
      </c>
      <c r="T34">
        <v>4200</v>
      </c>
      <c r="V34">
        <v>22.9404</v>
      </c>
      <c r="W34">
        <v>26.702625599999998</v>
      </c>
      <c r="X34">
        <v>250</v>
      </c>
      <c r="Y34">
        <v>0</v>
      </c>
      <c r="Z34">
        <v>0</v>
      </c>
      <c r="AA34">
        <v>6675.6563999999989</v>
      </c>
    </row>
    <row r="35" spans="1:27">
      <c r="A35">
        <v>62</v>
      </c>
      <c r="B35" t="s">
        <v>13</v>
      </c>
      <c r="C35" t="s">
        <v>14</v>
      </c>
      <c r="D35" t="s">
        <v>97</v>
      </c>
      <c r="E35" t="s">
        <v>69</v>
      </c>
      <c r="F35" t="s">
        <v>23</v>
      </c>
      <c r="G35">
        <v>20</v>
      </c>
      <c r="H35" t="s">
        <v>25</v>
      </c>
      <c r="I35" t="s">
        <v>104</v>
      </c>
      <c r="J35">
        <v>40</v>
      </c>
      <c r="K35" t="s">
        <v>99</v>
      </c>
      <c r="L35" t="s">
        <v>105</v>
      </c>
      <c r="M35" t="s">
        <v>27</v>
      </c>
      <c r="N35" t="s">
        <v>106</v>
      </c>
      <c r="O35" t="s">
        <v>102</v>
      </c>
      <c r="P35" t="s">
        <v>103</v>
      </c>
      <c r="Q35">
        <v>560001</v>
      </c>
      <c r="R35" t="s">
        <v>21</v>
      </c>
      <c r="S35">
        <v>1000</v>
      </c>
      <c r="V35">
        <v>1000</v>
      </c>
      <c r="W35">
        <v>1164</v>
      </c>
      <c r="X35">
        <v>500</v>
      </c>
      <c r="Y35">
        <v>0</v>
      </c>
      <c r="Z35">
        <v>0</v>
      </c>
      <c r="AA35">
        <v>582000</v>
      </c>
    </row>
    <row r="36" spans="1:27">
      <c r="A36">
        <v>63</v>
      </c>
      <c r="B36" t="s">
        <v>13</v>
      </c>
      <c r="C36" t="s">
        <v>14</v>
      </c>
      <c r="D36" t="s">
        <v>97</v>
      </c>
      <c r="E36" t="s">
        <v>69</v>
      </c>
      <c r="F36" t="s">
        <v>29</v>
      </c>
      <c r="G36">
        <v>17.515000000000001</v>
      </c>
      <c r="H36" t="s">
        <v>31</v>
      </c>
      <c r="I36" t="s">
        <v>122</v>
      </c>
      <c r="J36">
        <v>25</v>
      </c>
      <c r="K36" t="s">
        <v>99</v>
      </c>
      <c r="L36" t="s">
        <v>108</v>
      </c>
      <c r="M36" t="s">
        <v>33</v>
      </c>
      <c r="N36" t="s">
        <v>109</v>
      </c>
      <c r="O36" t="s">
        <v>102</v>
      </c>
      <c r="P36" t="s">
        <v>103</v>
      </c>
      <c r="Q36">
        <v>560001</v>
      </c>
      <c r="R36" t="s">
        <v>21</v>
      </c>
      <c r="S36">
        <v>800</v>
      </c>
      <c r="V36">
        <v>800</v>
      </c>
      <c r="W36">
        <v>931.19999999999993</v>
      </c>
      <c r="X36">
        <v>400</v>
      </c>
      <c r="Y36">
        <v>0</v>
      </c>
      <c r="Z36">
        <v>0</v>
      </c>
      <c r="AA36">
        <v>372480</v>
      </c>
    </row>
    <row r="37" spans="1:27">
      <c r="A37">
        <v>64</v>
      </c>
      <c r="B37" t="s">
        <v>35</v>
      </c>
      <c r="C37" t="s">
        <v>36</v>
      </c>
      <c r="D37" t="s">
        <v>110</v>
      </c>
      <c r="E37" t="s">
        <v>69</v>
      </c>
      <c r="F37" t="s">
        <v>16</v>
      </c>
      <c r="G37">
        <v>15</v>
      </c>
      <c r="H37" t="s">
        <v>18</v>
      </c>
      <c r="I37" t="s">
        <v>98</v>
      </c>
      <c r="J37">
        <v>30</v>
      </c>
      <c r="K37" t="s">
        <v>99</v>
      </c>
      <c r="L37" t="s">
        <v>100</v>
      </c>
      <c r="M37" t="s">
        <v>37</v>
      </c>
      <c r="N37" t="s">
        <v>111</v>
      </c>
      <c r="O37" t="s">
        <v>112</v>
      </c>
      <c r="P37" t="s">
        <v>103</v>
      </c>
      <c r="Q37">
        <v>200001</v>
      </c>
      <c r="R37" t="s">
        <v>38</v>
      </c>
      <c r="S37">
        <v>950</v>
      </c>
      <c r="V37">
        <v>950</v>
      </c>
      <c r="W37">
        <v>1105.8</v>
      </c>
      <c r="X37">
        <v>800</v>
      </c>
      <c r="Y37">
        <v>0</v>
      </c>
      <c r="Z37">
        <v>0</v>
      </c>
      <c r="AA37">
        <v>884640</v>
      </c>
    </row>
    <row r="38" spans="1:27">
      <c r="A38">
        <v>65</v>
      </c>
      <c r="B38" t="s">
        <v>35</v>
      </c>
      <c r="C38" t="s">
        <v>36</v>
      </c>
      <c r="D38" t="s">
        <v>110</v>
      </c>
      <c r="E38" t="s">
        <v>69</v>
      </c>
      <c r="F38" t="s">
        <v>23</v>
      </c>
      <c r="G38">
        <v>20</v>
      </c>
      <c r="H38" t="s">
        <v>25</v>
      </c>
      <c r="I38" t="s">
        <v>104</v>
      </c>
      <c r="J38">
        <v>40</v>
      </c>
      <c r="K38" t="s">
        <v>99</v>
      </c>
      <c r="L38" t="s">
        <v>105</v>
      </c>
      <c r="M38" t="s">
        <v>40</v>
      </c>
      <c r="N38" t="s">
        <v>113</v>
      </c>
      <c r="O38" t="s">
        <v>112</v>
      </c>
      <c r="P38" t="s">
        <v>103</v>
      </c>
      <c r="Q38">
        <v>200001</v>
      </c>
      <c r="R38" t="s">
        <v>38</v>
      </c>
      <c r="S38">
        <v>1100</v>
      </c>
      <c r="V38">
        <v>1100</v>
      </c>
      <c r="W38">
        <v>1280.3999999999999</v>
      </c>
      <c r="X38">
        <v>1900</v>
      </c>
      <c r="Y38">
        <v>0</v>
      </c>
      <c r="Z38">
        <v>0</v>
      </c>
      <c r="AA38">
        <v>2432759.9999999995</v>
      </c>
    </row>
    <row r="39" spans="1:27">
      <c r="A39">
        <v>66</v>
      </c>
      <c r="B39" t="s">
        <v>35</v>
      </c>
      <c r="C39" t="s">
        <v>36</v>
      </c>
      <c r="D39" t="s">
        <v>110</v>
      </c>
      <c r="E39" t="s">
        <v>69</v>
      </c>
      <c r="F39" t="s">
        <v>29</v>
      </c>
      <c r="G39">
        <v>18</v>
      </c>
      <c r="H39" t="s">
        <v>31</v>
      </c>
      <c r="I39" t="s">
        <v>107</v>
      </c>
      <c r="J39">
        <v>25</v>
      </c>
      <c r="K39" t="s">
        <v>99</v>
      </c>
      <c r="L39" t="s">
        <v>108</v>
      </c>
      <c r="M39" t="s">
        <v>43</v>
      </c>
      <c r="N39" t="s">
        <v>117</v>
      </c>
      <c r="O39" t="s">
        <v>112</v>
      </c>
      <c r="P39" t="s">
        <v>103</v>
      </c>
      <c r="Q39">
        <v>200001</v>
      </c>
      <c r="R39" t="s">
        <v>38</v>
      </c>
      <c r="S39">
        <v>900</v>
      </c>
      <c r="V39">
        <v>900</v>
      </c>
      <c r="W39">
        <v>1047.5999999999999</v>
      </c>
      <c r="X39">
        <v>1200</v>
      </c>
      <c r="Y39">
        <v>0</v>
      </c>
      <c r="Z39">
        <v>0</v>
      </c>
      <c r="AA39">
        <v>1257120</v>
      </c>
    </row>
    <row r="40" spans="1:27">
      <c r="A40">
        <v>73</v>
      </c>
      <c r="B40" t="s">
        <v>13</v>
      </c>
      <c r="C40" t="s">
        <v>14</v>
      </c>
      <c r="D40" t="s">
        <v>97</v>
      </c>
      <c r="E40" t="s">
        <v>70</v>
      </c>
      <c r="F40" t="s">
        <v>16</v>
      </c>
      <c r="G40">
        <v>15</v>
      </c>
      <c r="H40" t="s">
        <v>18</v>
      </c>
      <c r="I40" t="s">
        <v>98</v>
      </c>
      <c r="J40">
        <v>30</v>
      </c>
      <c r="K40" t="s">
        <v>99</v>
      </c>
      <c r="L40" t="s">
        <v>100</v>
      </c>
      <c r="M40" t="s">
        <v>20</v>
      </c>
      <c r="N40" t="s">
        <v>101</v>
      </c>
      <c r="O40" t="s">
        <v>102</v>
      </c>
      <c r="P40" t="s">
        <v>103</v>
      </c>
      <c r="Q40">
        <v>560001</v>
      </c>
      <c r="R40" t="s">
        <v>21</v>
      </c>
      <c r="T40">
        <v>4200</v>
      </c>
      <c r="V40">
        <v>22.9404</v>
      </c>
      <c r="W40">
        <v>26.702625599999998</v>
      </c>
      <c r="X40">
        <v>250</v>
      </c>
      <c r="Y40">
        <v>0</v>
      </c>
      <c r="Z40">
        <v>0</v>
      </c>
      <c r="AA40">
        <v>6675.6563999999989</v>
      </c>
    </row>
    <row r="41" spans="1:27">
      <c r="A41">
        <v>74</v>
      </c>
      <c r="B41" t="s">
        <v>13</v>
      </c>
      <c r="C41" t="s">
        <v>14</v>
      </c>
      <c r="D41" t="s">
        <v>97</v>
      </c>
      <c r="E41" t="s">
        <v>70</v>
      </c>
      <c r="F41" t="s">
        <v>23</v>
      </c>
      <c r="G41">
        <v>20</v>
      </c>
      <c r="H41" t="s">
        <v>25</v>
      </c>
      <c r="I41" t="s">
        <v>104</v>
      </c>
      <c r="J41">
        <v>40</v>
      </c>
      <c r="K41" t="s">
        <v>99</v>
      </c>
      <c r="L41" t="s">
        <v>105</v>
      </c>
      <c r="M41" t="s">
        <v>27</v>
      </c>
      <c r="N41" t="s">
        <v>106</v>
      </c>
      <c r="O41" t="s">
        <v>102</v>
      </c>
      <c r="P41" t="s">
        <v>103</v>
      </c>
      <c r="Q41">
        <v>560001</v>
      </c>
      <c r="R41" t="s">
        <v>21</v>
      </c>
      <c r="S41">
        <v>1000</v>
      </c>
      <c r="V41">
        <v>1000</v>
      </c>
      <c r="W41">
        <v>1164</v>
      </c>
      <c r="X41">
        <v>500</v>
      </c>
      <c r="Y41">
        <v>0</v>
      </c>
      <c r="Z41">
        <v>0</v>
      </c>
      <c r="AA41">
        <v>582000</v>
      </c>
    </row>
    <row r="42" spans="1:27">
      <c r="A42">
        <v>75</v>
      </c>
      <c r="B42" t="s">
        <v>13</v>
      </c>
      <c r="C42" t="s">
        <v>14</v>
      </c>
      <c r="D42" t="s">
        <v>97</v>
      </c>
      <c r="E42" t="s">
        <v>70</v>
      </c>
      <c r="F42" t="s">
        <v>29</v>
      </c>
      <c r="G42">
        <v>18</v>
      </c>
      <c r="H42" t="s">
        <v>31</v>
      </c>
      <c r="I42" t="s">
        <v>107</v>
      </c>
      <c r="J42">
        <v>25</v>
      </c>
      <c r="K42" t="s">
        <v>99</v>
      </c>
      <c r="L42" t="s">
        <v>108</v>
      </c>
      <c r="M42" t="s">
        <v>33</v>
      </c>
      <c r="N42" t="s">
        <v>109</v>
      </c>
      <c r="O42" t="s">
        <v>102</v>
      </c>
      <c r="P42" t="s">
        <v>103</v>
      </c>
      <c r="Q42">
        <v>560001</v>
      </c>
      <c r="R42" t="s">
        <v>21</v>
      </c>
      <c r="S42">
        <v>800</v>
      </c>
      <c r="V42">
        <v>800</v>
      </c>
      <c r="W42">
        <v>931.19999999999993</v>
      </c>
      <c r="X42">
        <v>400</v>
      </c>
      <c r="Y42">
        <v>0</v>
      </c>
      <c r="Z42">
        <v>0</v>
      </c>
      <c r="AA42">
        <v>372480</v>
      </c>
    </row>
    <row r="43" spans="1:27">
      <c r="A43">
        <v>76</v>
      </c>
      <c r="B43" t="s">
        <v>35</v>
      </c>
      <c r="C43" t="s">
        <v>36</v>
      </c>
      <c r="D43" t="s">
        <v>110</v>
      </c>
      <c r="E43" t="s">
        <v>70</v>
      </c>
      <c r="F43" t="s">
        <v>16</v>
      </c>
      <c r="G43">
        <v>15</v>
      </c>
      <c r="H43" t="s">
        <v>18</v>
      </c>
      <c r="I43" t="s">
        <v>98</v>
      </c>
      <c r="J43">
        <v>48.28</v>
      </c>
      <c r="K43" t="s">
        <v>115</v>
      </c>
      <c r="L43" t="s">
        <v>119</v>
      </c>
      <c r="M43" t="s">
        <v>37</v>
      </c>
      <c r="N43" t="s">
        <v>111</v>
      </c>
      <c r="O43" t="s">
        <v>112</v>
      </c>
      <c r="P43" t="s">
        <v>103</v>
      </c>
      <c r="Q43">
        <v>200001</v>
      </c>
      <c r="R43" t="s">
        <v>38</v>
      </c>
      <c r="S43">
        <v>950</v>
      </c>
      <c r="V43">
        <v>950</v>
      </c>
      <c r="W43">
        <v>1105.8</v>
      </c>
      <c r="X43">
        <v>800</v>
      </c>
      <c r="Y43">
        <v>0</v>
      </c>
      <c r="Z43">
        <v>0</v>
      </c>
      <c r="AA43">
        <v>884640</v>
      </c>
    </row>
    <row r="44" spans="1:27">
      <c r="A44">
        <v>77</v>
      </c>
      <c r="B44" t="s">
        <v>35</v>
      </c>
      <c r="C44" t="s">
        <v>36</v>
      </c>
      <c r="D44" t="s">
        <v>110</v>
      </c>
      <c r="E44" t="s">
        <v>70</v>
      </c>
      <c r="F44" t="s">
        <v>23</v>
      </c>
      <c r="G44">
        <v>20</v>
      </c>
      <c r="H44" t="s">
        <v>25</v>
      </c>
      <c r="I44" t="s">
        <v>104</v>
      </c>
      <c r="J44">
        <v>40</v>
      </c>
      <c r="K44" t="s">
        <v>99</v>
      </c>
      <c r="L44" t="s">
        <v>105</v>
      </c>
      <c r="M44" t="s">
        <v>40</v>
      </c>
      <c r="N44" t="s">
        <v>113</v>
      </c>
      <c r="O44" t="s">
        <v>112</v>
      </c>
      <c r="P44" t="s">
        <v>103</v>
      </c>
      <c r="Q44">
        <v>200001</v>
      </c>
      <c r="R44" t="s">
        <v>38</v>
      </c>
      <c r="S44">
        <v>1100</v>
      </c>
      <c r="V44">
        <v>1100</v>
      </c>
      <c r="W44">
        <v>1280.3999999999999</v>
      </c>
      <c r="X44">
        <v>1800</v>
      </c>
      <c r="Y44">
        <v>0</v>
      </c>
      <c r="Z44">
        <v>0</v>
      </c>
      <c r="AA44">
        <v>2304719.9999999995</v>
      </c>
    </row>
    <row r="45" spans="1:27">
      <c r="A45">
        <v>78</v>
      </c>
      <c r="B45" t="s">
        <v>35</v>
      </c>
      <c r="C45" t="s">
        <v>36</v>
      </c>
      <c r="D45" t="s">
        <v>110</v>
      </c>
      <c r="E45" t="s">
        <v>70</v>
      </c>
      <c r="F45" t="s">
        <v>29</v>
      </c>
      <c r="G45">
        <v>18</v>
      </c>
      <c r="H45" t="s">
        <v>31</v>
      </c>
      <c r="I45" t="s">
        <v>107</v>
      </c>
      <c r="J45">
        <v>25</v>
      </c>
      <c r="K45" t="s">
        <v>99</v>
      </c>
      <c r="L45" t="s">
        <v>108</v>
      </c>
      <c r="M45" t="s">
        <v>43</v>
      </c>
      <c r="N45" t="s">
        <v>117</v>
      </c>
      <c r="O45" t="s">
        <v>112</v>
      </c>
      <c r="P45" t="s">
        <v>103</v>
      </c>
      <c r="Q45">
        <v>200001</v>
      </c>
      <c r="R45" t="s">
        <v>38</v>
      </c>
      <c r="S45">
        <v>1100</v>
      </c>
      <c r="V45">
        <v>1100</v>
      </c>
      <c r="W45">
        <v>1280.3999999999999</v>
      </c>
      <c r="X45">
        <v>1200</v>
      </c>
      <c r="Y45">
        <v>0</v>
      </c>
      <c r="Z45">
        <v>0</v>
      </c>
      <c r="AA45">
        <v>1536479.9999999998</v>
      </c>
    </row>
    <row r="46" spans="1:27">
      <c r="A46">
        <v>85</v>
      </c>
      <c r="B46" t="s">
        <v>13</v>
      </c>
      <c r="C46" t="s">
        <v>14</v>
      </c>
      <c r="D46" t="s">
        <v>97</v>
      </c>
      <c r="E46" t="s">
        <v>71</v>
      </c>
      <c r="F46" t="s">
        <v>16</v>
      </c>
      <c r="G46">
        <v>15</v>
      </c>
      <c r="H46" t="s">
        <v>18</v>
      </c>
      <c r="I46" t="s">
        <v>98</v>
      </c>
      <c r="J46">
        <v>30</v>
      </c>
      <c r="K46" t="s">
        <v>99</v>
      </c>
      <c r="L46" t="s">
        <v>100</v>
      </c>
      <c r="M46" t="s">
        <v>20</v>
      </c>
      <c r="N46" t="s">
        <v>101</v>
      </c>
      <c r="O46" t="s">
        <v>102</v>
      </c>
      <c r="P46" t="s">
        <v>103</v>
      </c>
      <c r="Q46">
        <v>560001</v>
      </c>
      <c r="R46" t="s">
        <v>21</v>
      </c>
      <c r="T46">
        <v>5000</v>
      </c>
      <c r="V46">
        <v>27.31</v>
      </c>
      <c r="W46">
        <v>31.788839999999997</v>
      </c>
      <c r="X46">
        <v>200</v>
      </c>
      <c r="Y46">
        <v>0</v>
      </c>
      <c r="Z46">
        <v>0</v>
      </c>
      <c r="AA46">
        <v>6357.7679999999991</v>
      </c>
    </row>
    <row r="47" spans="1:27">
      <c r="A47">
        <v>86</v>
      </c>
      <c r="B47" t="s">
        <v>13</v>
      </c>
      <c r="C47" t="s">
        <v>14</v>
      </c>
      <c r="D47" t="s">
        <v>97</v>
      </c>
      <c r="E47" t="s">
        <v>71</v>
      </c>
      <c r="F47" t="s">
        <v>23</v>
      </c>
      <c r="G47">
        <v>20</v>
      </c>
      <c r="H47" t="s">
        <v>25</v>
      </c>
      <c r="I47" t="s">
        <v>104</v>
      </c>
      <c r="J47">
        <v>40</v>
      </c>
      <c r="K47" t="s">
        <v>99</v>
      </c>
      <c r="L47" t="s">
        <v>105</v>
      </c>
      <c r="M47" t="s">
        <v>27</v>
      </c>
      <c r="N47" t="s">
        <v>106</v>
      </c>
      <c r="O47" t="s">
        <v>102</v>
      </c>
      <c r="P47" t="s">
        <v>103</v>
      </c>
      <c r="Q47">
        <v>560001</v>
      </c>
      <c r="R47" t="s">
        <v>21</v>
      </c>
      <c r="T47">
        <v>3500</v>
      </c>
      <c r="V47">
        <v>19.117000000000001</v>
      </c>
      <c r="W47">
        <v>22.252188</v>
      </c>
      <c r="X47">
        <v>450</v>
      </c>
      <c r="Y47">
        <v>0</v>
      </c>
      <c r="Z47">
        <v>0</v>
      </c>
      <c r="AA47">
        <v>10013.4846</v>
      </c>
    </row>
    <row r="48" spans="1:27">
      <c r="A48">
        <v>87</v>
      </c>
      <c r="B48" t="s">
        <v>13</v>
      </c>
      <c r="C48" t="s">
        <v>14</v>
      </c>
      <c r="D48" t="s">
        <v>97</v>
      </c>
      <c r="E48" t="s">
        <v>71</v>
      </c>
      <c r="F48" t="s">
        <v>29</v>
      </c>
      <c r="G48">
        <v>18</v>
      </c>
      <c r="H48" t="s">
        <v>31</v>
      </c>
      <c r="I48" t="s">
        <v>107</v>
      </c>
      <c r="J48">
        <v>40.229999999999997</v>
      </c>
      <c r="K48" t="s">
        <v>115</v>
      </c>
      <c r="L48" t="s">
        <v>116</v>
      </c>
      <c r="M48" t="s">
        <v>33</v>
      </c>
      <c r="N48" t="s">
        <v>109</v>
      </c>
      <c r="O48" t="s">
        <v>102</v>
      </c>
      <c r="P48" t="s">
        <v>103</v>
      </c>
      <c r="Q48">
        <v>560001</v>
      </c>
      <c r="R48" t="s">
        <v>21</v>
      </c>
      <c r="T48">
        <v>4200</v>
      </c>
      <c r="V48">
        <v>22.9404</v>
      </c>
      <c r="W48">
        <v>26.702625599999998</v>
      </c>
      <c r="X48">
        <v>350</v>
      </c>
      <c r="Y48">
        <v>0</v>
      </c>
      <c r="Z48">
        <v>0</v>
      </c>
      <c r="AA48">
        <v>9345.9189599999991</v>
      </c>
    </row>
    <row r="49" spans="1:27">
      <c r="A49">
        <v>88</v>
      </c>
      <c r="B49" t="s">
        <v>35</v>
      </c>
      <c r="C49" t="s">
        <v>36</v>
      </c>
      <c r="D49" t="s">
        <v>110</v>
      </c>
      <c r="E49" t="s">
        <v>71</v>
      </c>
      <c r="F49" t="s">
        <v>16</v>
      </c>
      <c r="G49">
        <v>17.515000000000001</v>
      </c>
      <c r="H49" t="s">
        <v>18</v>
      </c>
      <c r="I49" t="s">
        <v>121</v>
      </c>
      <c r="J49">
        <v>30</v>
      </c>
      <c r="K49" t="s">
        <v>99</v>
      </c>
      <c r="L49" t="s">
        <v>100</v>
      </c>
      <c r="M49" t="s">
        <v>37</v>
      </c>
      <c r="N49" t="s">
        <v>111</v>
      </c>
      <c r="O49" t="s">
        <v>112</v>
      </c>
      <c r="P49" t="s">
        <v>103</v>
      </c>
      <c r="Q49">
        <v>200001</v>
      </c>
      <c r="R49" t="s">
        <v>38</v>
      </c>
      <c r="S49">
        <v>1000</v>
      </c>
      <c r="V49">
        <v>1000</v>
      </c>
      <c r="W49">
        <v>1164</v>
      </c>
      <c r="X49">
        <v>700</v>
      </c>
      <c r="Y49">
        <v>0</v>
      </c>
      <c r="Z49">
        <v>0</v>
      </c>
      <c r="AA49">
        <v>814800</v>
      </c>
    </row>
    <row r="50" spans="1:27">
      <c r="A50">
        <v>89</v>
      </c>
      <c r="B50" t="s">
        <v>35</v>
      </c>
      <c r="C50" t="s">
        <v>36</v>
      </c>
      <c r="D50" t="s">
        <v>110</v>
      </c>
      <c r="E50" t="s">
        <v>71</v>
      </c>
      <c r="F50" t="s">
        <v>23</v>
      </c>
      <c r="G50">
        <v>20</v>
      </c>
      <c r="H50" t="s">
        <v>25</v>
      </c>
      <c r="I50" t="s">
        <v>104</v>
      </c>
      <c r="J50">
        <v>40</v>
      </c>
      <c r="K50" t="s">
        <v>99</v>
      </c>
      <c r="L50" t="s">
        <v>105</v>
      </c>
      <c r="M50" t="s">
        <v>40</v>
      </c>
      <c r="N50" t="s">
        <v>113</v>
      </c>
      <c r="O50" t="s">
        <v>112</v>
      </c>
      <c r="P50" t="s">
        <v>103</v>
      </c>
      <c r="Q50">
        <v>200001</v>
      </c>
      <c r="R50" t="s">
        <v>38</v>
      </c>
      <c r="S50">
        <v>800</v>
      </c>
      <c r="V50">
        <v>800</v>
      </c>
      <c r="W50">
        <v>931.19999999999993</v>
      </c>
      <c r="X50">
        <v>1600</v>
      </c>
      <c r="Y50">
        <v>0</v>
      </c>
      <c r="Z50">
        <v>0</v>
      </c>
      <c r="AA50">
        <v>1489920</v>
      </c>
    </row>
    <row r="51" spans="1:27">
      <c r="A51">
        <v>90</v>
      </c>
      <c r="B51" t="s">
        <v>35</v>
      </c>
      <c r="C51" t="s">
        <v>36</v>
      </c>
      <c r="D51" t="s">
        <v>110</v>
      </c>
      <c r="E51" t="s">
        <v>71</v>
      </c>
      <c r="F51" t="s">
        <v>29</v>
      </c>
      <c r="G51">
        <v>18</v>
      </c>
      <c r="H51" t="s">
        <v>31</v>
      </c>
      <c r="I51" t="s">
        <v>107</v>
      </c>
      <c r="J51">
        <v>25</v>
      </c>
      <c r="K51" t="s">
        <v>99</v>
      </c>
      <c r="L51" t="s">
        <v>108</v>
      </c>
      <c r="M51" t="s">
        <v>43</v>
      </c>
      <c r="N51" t="s">
        <v>117</v>
      </c>
      <c r="O51" t="s">
        <v>112</v>
      </c>
      <c r="P51" t="s">
        <v>103</v>
      </c>
      <c r="Q51">
        <v>200001</v>
      </c>
      <c r="R51" t="s">
        <v>38</v>
      </c>
      <c r="S51">
        <v>950</v>
      </c>
      <c r="V51">
        <v>950</v>
      </c>
      <c r="W51">
        <v>1105.8</v>
      </c>
      <c r="X51">
        <v>1000</v>
      </c>
      <c r="Y51">
        <v>0</v>
      </c>
      <c r="Z51">
        <v>0</v>
      </c>
      <c r="AA51">
        <v>1105800</v>
      </c>
    </row>
    <row r="52" spans="1:27">
      <c r="A52">
        <v>97</v>
      </c>
      <c r="B52" t="s">
        <v>13</v>
      </c>
      <c r="C52" t="s">
        <v>14</v>
      </c>
      <c r="D52" t="s">
        <v>97</v>
      </c>
      <c r="E52" t="s">
        <v>72</v>
      </c>
      <c r="F52" t="s">
        <v>16</v>
      </c>
      <c r="G52">
        <v>15</v>
      </c>
      <c r="H52" t="s">
        <v>18</v>
      </c>
      <c r="I52" t="s">
        <v>98</v>
      </c>
      <c r="J52">
        <v>30</v>
      </c>
      <c r="K52" t="s">
        <v>99</v>
      </c>
      <c r="L52" t="s">
        <v>100</v>
      </c>
      <c r="M52" t="s">
        <v>20</v>
      </c>
      <c r="N52" t="s">
        <v>101</v>
      </c>
      <c r="O52" t="s">
        <v>102</v>
      </c>
      <c r="P52" t="s">
        <v>103</v>
      </c>
      <c r="Q52">
        <v>560001</v>
      </c>
      <c r="R52" t="s">
        <v>21</v>
      </c>
      <c r="U52">
        <v>22000</v>
      </c>
      <c r="V52">
        <v>209.44000000000003</v>
      </c>
      <c r="W52">
        <v>243.78816</v>
      </c>
      <c r="X52">
        <v>180</v>
      </c>
      <c r="Y52">
        <v>0</v>
      </c>
      <c r="Z52">
        <v>0</v>
      </c>
      <c r="AA52">
        <v>43881.868800000004</v>
      </c>
    </row>
    <row r="53" spans="1:27">
      <c r="A53">
        <v>98</v>
      </c>
      <c r="B53" t="s">
        <v>13</v>
      </c>
      <c r="C53" t="s">
        <v>14</v>
      </c>
      <c r="D53" t="s">
        <v>97</v>
      </c>
      <c r="E53" t="s">
        <v>72</v>
      </c>
      <c r="F53" t="s">
        <v>23</v>
      </c>
      <c r="G53">
        <v>20</v>
      </c>
      <c r="H53" t="s">
        <v>25</v>
      </c>
      <c r="I53" t="s">
        <v>104</v>
      </c>
      <c r="J53">
        <v>40</v>
      </c>
      <c r="K53" t="s">
        <v>99</v>
      </c>
      <c r="L53" t="s">
        <v>105</v>
      </c>
      <c r="M53" t="s">
        <v>27</v>
      </c>
      <c r="N53" t="s">
        <v>106</v>
      </c>
      <c r="O53" t="s">
        <v>102</v>
      </c>
      <c r="P53" t="s">
        <v>103</v>
      </c>
      <c r="Q53">
        <v>560001</v>
      </c>
      <c r="R53" t="s">
        <v>21</v>
      </c>
      <c r="T53">
        <v>5000</v>
      </c>
      <c r="V53">
        <v>27.31</v>
      </c>
      <c r="W53">
        <v>31.788839999999997</v>
      </c>
      <c r="X53">
        <v>500</v>
      </c>
      <c r="Y53">
        <v>0</v>
      </c>
      <c r="Z53">
        <v>0</v>
      </c>
      <c r="AA53">
        <v>15894.419999999998</v>
      </c>
    </row>
    <row r="54" spans="1:27">
      <c r="A54">
        <v>99</v>
      </c>
      <c r="B54" t="s">
        <v>13</v>
      </c>
      <c r="C54" t="s">
        <v>14</v>
      </c>
      <c r="D54" t="s">
        <v>97</v>
      </c>
      <c r="E54" t="s">
        <v>72</v>
      </c>
      <c r="F54" t="s">
        <v>29</v>
      </c>
      <c r="G54">
        <v>18</v>
      </c>
      <c r="H54" t="s">
        <v>31</v>
      </c>
      <c r="I54" t="s">
        <v>107</v>
      </c>
      <c r="J54">
        <v>25</v>
      </c>
      <c r="K54" t="s">
        <v>99</v>
      </c>
      <c r="L54" t="s">
        <v>108</v>
      </c>
      <c r="M54" t="s">
        <v>33</v>
      </c>
      <c r="N54" t="s">
        <v>109</v>
      </c>
      <c r="O54" t="s">
        <v>102</v>
      </c>
      <c r="P54" t="s">
        <v>103</v>
      </c>
      <c r="Q54">
        <v>560001</v>
      </c>
      <c r="R54" t="s">
        <v>21</v>
      </c>
      <c r="T54">
        <v>3500</v>
      </c>
      <c r="V54">
        <v>19.117000000000001</v>
      </c>
      <c r="W54">
        <v>22.252188</v>
      </c>
      <c r="X54">
        <v>300</v>
      </c>
      <c r="Y54">
        <v>0</v>
      </c>
      <c r="Z54">
        <v>0</v>
      </c>
      <c r="AA54">
        <v>6675.6563999999998</v>
      </c>
    </row>
    <row r="55" spans="1:27">
      <c r="A55">
        <v>100</v>
      </c>
      <c r="B55" t="s">
        <v>35</v>
      </c>
      <c r="C55" t="s">
        <v>36</v>
      </c>
      <c r="D55" t="s">
        <v>110</v>
      </c>
      <c r="E55" t="s">
        <v>72</v>
      </c>
      <c r="F55" t="s">
        <v>16</v>
      </c>
      <c r="G55">
        <v>15</v>
      </c>
      <c r="H55" t="s">
        <v>18</v>
      </c>
      <c r="I55" t="s">
        <v>98</v>
      </c>
      <c r="J55">
        <v>30</v>
      </c>
      <c r="K55" t="s">
        <v>99</v>
      </c>
      <c r="L55" t="s">
        <v>100</v>
      </c>
      <c r="M55" t="s">
        <v>37</v>
      </c>
      <c r="N55" t="s">
        <v>111</v>
      </c>
      <c r="O55" t="s">
        <v>112</v>
      </c>
      <c r="P55" t="s">
        <v>103</v>
      </c>
      <c r="Q55">
        <v>200001</v>
      </c>
      <c r="R55" t="s">
        <v>38</v>
      </c>
      <c r="T55">
        <v>4200</v>
      </c>
      <c r="V55">
        <v>22.9404</v>
      </c>
      <c r="W55">
        <v>26.702625599999998</v>
      </c>
      <c r="X55">
        <v>600</v>
      </c>
      <c r="Y55">
        <v>0</v>
      </c>
      <c r="Z55">
        <v>0</v>
      </c>
      <c r="AA55">
        <v>16021.575359999999</v>
      </c>
    </row>
    <row r="56" spans="1:27">
      <c r="A56">
        <v>101</v>
      </c>
      <c r="B56" t="s">
        <v>35</v>
      </c>
      <c r="C56" t="s">
        <v>36</v>
      </c>
      <c r="D56" t="s">
        <v>110</v>
      </c>
      <c r="E56" t="s">
        <v>72</v>
      </c>
      <c r="F56" t="s">
        <v>23</v>
      </c>
      <c r="G56">
        <v>20</v>
      </c>
      <c r="H56" t="s">
        <v>25</v>
      </c>
      <c r="I56" t="s">
        <v>104</v>
      </c>
      <c r="J56">
        <v>40</v>
      </c>
      <c r="K56" t="s">
        <v>99</v>
      </c>
      <c r="L56" t="s">
        <v>105</v>
      </c>
      <c r="M56" t="s">
        <v>40</v>
      </c>
      <c r="N56" t="s">
        <v>113</v>
      </c>
      <c r="O56" t="s">
        <v>112</v>
      </c>
      <c r="P56" t="s">
        <v>103</v>
      </c>
      <c r="Q56">
        <v>200001</v>
      </c>
      <c r="R56" t="s">
        <v>38</v>
      </c>
      <c r="S56">
        <v>1000</v>
      </c>
      <c r="V56">
        <v>1000</v>
      </c>
      <c r="W56">
        <v>1164</v>
      </c>
      <c r="X56">
        <v>1400</v>
      </c>
      <c r="Y56">
        <v>0</v>
      </c>
      <c r="Z56">
        <v>0</v>
      </c>
      <c r="AA56">
        <v>1629600</v>
      </c>
    </row>
    <row r="57" spans="1:27">
      <c r="A57">
        <v>102</v>
      </c>
      <c r="B57" t="s">
        <v>35</v>
      </c>
      <c r="C57" t="s">
        <v>36</v>
      </c>
      <c r="D57" t="s">
        <v>110</v>
      </c>
      <c r="E57" t="s">
        <v>72</v>
      </c>
      <c r="F57" t="s">
        <v>29</v>
      </c>
      <c r="G57">
        <v>18</v>
      </c>
      <c r="H57" t="s">
        <v>31</v>
      </c>
      <c r="I57" t="s">
        <v>107</v>
      </c>
      <c r="J57">
        <v>25</v>
      </c>
      <c r="K57" t="s">
        <v>99</v>
      </c>
      <c r="L57" t="s">
        <v>108</v>
      </c>
      <c r="M57" t="s">
        <v>43</v>
      </c>
      <c r="N57" t="s">
        <v>117</v>
      </c>
      <c r="O57" t="s">
        <v>112</v>
      </c>
      <c r="P57" t="s">
        <v>103</v>
      </c>
      <c r="Q57">
        <v>200001</v>
      </c>
      <c r="R57" t="s">
        <v>38</v>
      </c>
      <c r="S57">
        <v>800</v>
      </c>
      <c r="V57">
        <v>800</v>
      </c>
      <c r="W57">
        <v>931.19999999999993</v>
      </c>
      <c r="X57">
        <v>850</v>
      </c>
      <c r="Y57">
        <v>0</v>
      </c>
      <c r="Z57">
        <v>0</v>
      </c>
      <c r="AA57">
        <v>791520</v>
      </c>
    </row>
    <row r="58" spans="1:27">
      <c r="A58">
        <v>109</v>
      </c>
      <c r="B58" t="s">
        <v>13</v>
      </c>
      <c r="C58" t="s">
        <v>14</v>
      </c>
      <c r="D58" t="s">
        <v>97</v>
      </c>
      <c r="E58" t="s">
        <v>73</v>
      </c>
      <c r="F58" t="s">
        <v>16</v>
      </c>
      <c r="G58">
        <v>15</v>
      </c>
      <c r="H58" t="s">
        <v>18</v>
      </c>
      <c r="I58" t="s">
        <v>98</v>
      </c>
      <c r="J58">
        <v>30</v>
      </c>
      <c r="K58" t="s">
        <v>99</v>
      </c>
      <c r="L58" t="s">
        <v>100</v>
      </c>
      <c r="M58" t="s">
        <v>20</v>
      </c>
      <c r="N58" t="s">
        <v>101</v>
      </c>
      <c r="O58" t="s">
        <v>102</v>
      </c>
      <c r="P58" t="s">
        <v>103</v>
      </c>
      <c r="Q58">
        <v>560001</v>
      </c>
      <c r="R58" t="s">
        <v>21</v>
      </c>
      <c r="U58">
        <v>25000</v>
      </c>
      <c r="V58">
        <v>238.00000000000003</v>
      </c>
      <c r="W58">
        <v>277.03200000000004</v>
      </c>
      <c r="X58">
        <v>150</v>
      </c>
      <c r="Y58">
        <v>0</v>
      </c>
      <c r="Z58">
        <v>0</v>
      </c>
      <c r="AA58">
        <v>41554.800000000003</v>
      </c>
    </row>
    <row r="59" spans="1:27">
      <c r="A59">
        <v>110</v>
      </c>
      <c r="B59" t="s">
        <v>13</v>
      </c>
      <c r="C59" t="s">
        <v>14</v>
      </c>
      <c r="D59" t="s">
        <v>97</v>
      </c>
      <c r="E59" t="s">
        <v>73</v>
      </c>
      <c r="F59" t="s">
        <v>23</v>
      </c>
      <c r="G59">
        <v>20</v>
      </c>
      <c r="H59" t="s">
        <v>25</v>
      </c>
      <c r="I59" t="s">
        <v>104</v>
      </c>
      <c r="J59">
        <v>40</v>
      </c>
      <c r="K59" t="s">
        <v>99</v>
      </c>
      <c r="L59" t="s">
        <v>105</v>
      </c>
      <c r="M59" t="s">
        <v>27</v>
      </c>
      <c r="N59" t="s">
        <v>106</v>
      </c>
      <c r="O59" t="s">
        <v>102</v>
      </c>
      <c r="P59" t="s">
        <v>103</v>
      </c>
      <c r="Q59">
        <v>560001</v>
      </c>
      <c r="R59" t="s">
        <v>21</v>
      </c>
      <c r="U59">
        <v>22000</v>
      </c>
      <c r="V59">
        <v>209.44000000000003</v>
      </c>
      <c r="W59">
        <v>243.78816</v>
      </c>
      <c r="X59">
        <v>400</v>
      </c>
      <c r="Y59">
        <v>0</v>
      </c>
      <c r="Z59">
        <v>0</v>
      </c>
      <c r="AA59">
        <v>97515.263999999996</v>
      </c>
    </row>
    <row r="60" spans="1:27">
      <c r="A60">
        <v>111</v>
      </c>
      <c r="B60" t="s">
        <v>13</v>
      </c>
      <c r="C60" t="s">
        <v>14</v>
      </c>
      <c r="D60" t="s">
        <v>97</v>
      </c>
      <c r="E60" t="s">
        <v>73</v>
      </c>
      <c r="F60" t="s">
        <v>29</v>
      </c>
      <c r="G60">
        <v>18</v>
      </c>
      <c r="H60" t="s">
        <v>31</v>
      </c>
      <c r="I60" t="s">
        <v>107</v>
      </c>
      <c r="J60">
        <v>40.229999999999997</v>
      </c>
      <c r="K60" t="s">
        <v>115</v>
      </c>
      <c r="L60" t="s">
        <v>116</v>
      </c>
      <c r="M60" t="s">
        <v>33</v>
      </c>
      <c r="N60" t="s">
        <v>109</v>
      </c>
      <c r="O60" t="s">
        <v>102</v>
      </c>
      <c r="P60" t="s">
        <v>103</v>
      </c>
      <c r="Q60">
        <v>560001</v>
      </c>
      <c r="R60" t="s">
        <v>21</v>
      </c>
      <c r="T60">
        <v>5000</v>
      </c>
      <c r="V60">
        <v>27.31</v>
      </c>
      <c r="W60">
        <v>31.788839999999997</v>
      </c>
      <c r="X60">
        <v>280</v>
      </c>
      <c r="Y60">
        <v>0</v>
      </c>
      <c r="Z60">
        <v>0</v>
      </c>
      <c r="AA60">
        <v>8900.8751999999986</v>
      </c>
    </row>
    <row r="61" spans="1:27">
      <c r="A61">
        <v>112</v>
      </c>
      <c r="B61" t="s">
        <v>35</v>
      </c>
      <c r="C61" t="s">
        <v>36</v>
      </c>
      <c r="D61" t="s">
        <v>110</v>
      </c>
      <c r="E61" t="s">
        <v>73</v>
      </c>
      <c r="F61" t="s">
        <v>16</v>
      </c>
      <c r="G61">
        <v>15</v>
      </c>
      <c r="H61" t="s">
        <v>18</v>
      </c>
      <c r="I61" t="s">
        <v>98</v>
      </c>
      <c r="J61">
        <v>30</v>
      </c>
      <c r="K61" t="s">
        <v>99</v>
      </c>
      <c r="L61" t="s">
        <v>100</v>
      </c>
      <c r="M61" t="s">
        <v>37</v>
      </c>
      <c r="N61" t="s">
        <v>111</v>
      </c>
      <c r="O61" t="s">
        <v>112</v>
      </c>
      <c r="P61" t="s">
        <v>103</v>
      </c>
      <c r="Q61">
        <v>200001</v>
      </c>
      <c r="R61" t="s">
        <v>38</v>
      </c>
      <c r="T61">
        <v>3500</v>
      </c>
      <c r="V61">
        <v>19.117000000000001</v>
      </c>
      <c r="W61">
        <v>22.252188</v>
      </c>
      <c r="X61">
        <v>550</v>
      </c>
      <c r="Y61">
        <v>0</v>
      </c>
      <c r="Z61">
        <v>0</v>
      </c>
      <c r="AA61">
        <v>12238.7034</v>
      </c>
    </row>
    <row r="62" spans="1:27">
      <c r="A62">
        <v>113</v>
      </c>
      <c r="B62" t="s">
        <v>35</v>
      </c>
      <c r="C62" t="s">
        <v>36</v>
      </c>
      <c r="D62" t="s">
        <v>110</v>
      </c>
      <c r="E62" t="s">
        <v>73</v>
      </c>
      <c r="F62" t="s">
        <v>23</v>
      </c>
      <c r="G62">
        <v>20</v>
      </c>
      <c r="H62" t="s">
        <v>25</v>
      </c>
      <c r="I62" t="s">
        <v>104</v>
      </c>
      <c r="J62">
        <v>40</v>
      </c>
      <c r="K62" t="s">
        <v>99</v>
      </c>
      <c r="L62" t="s">
        <v>105</v>
      </c>
      <c r="M62" t="s">
        <v>40</v>
      </c>
      <c r="N62" t="s">
        <v>113</v>
      </c>
      <c r="O62" t="s">
        <v>112</v>
      </c>
      <c r="P62" t="s">
        <v>103</v>
      </c>
      <c r="Q62">
        <v>200001</v>
      </c>
      <c r="R62" t="s">
        <v>38</v>
      </c>
      <c r="T62">
        <v>4200</v>
      </c>
      <c r="V62">
        <v>22.9404</v>
      </c>
      <c r="W62">
        <v>26.702625599999998</v>
      </c>
      <c r="X62">
        <v>1300</v>
      </c>
      <c r="Y62">
        <v>0</v>
      </c>
      <c r="Z62">
        <v>0</v>
      </c>
      <c r="AA62">
        <v>34713.413279999993</v>
      </c>
    </row>
    <row r="63" spans="1:27">
      <c r="A63">
        <v>114</v>
      </c>
      <c r="B63" t="s">
        <v>35</v>
      </c>
      <c r="C63" t="s">
        <v>36</v>
      </c>
      <c r="D63" t="s">
        <v>110</v>
      </c>
      <c r="E63" t="s">
        <v>73</v>
      </c>
      <c r="F63" t="s">
        <v>29</v>
      </c>
      <c r="G63">
        <v>18</v>
      </c>
      <c r="H63" t="s">
        <v>31</v>
      </c>
      <c r="I63" t="s">
        <v>107</v>
      </c>
      <c r="J63">
        <v>25</v>
      </c>
      <c r="K63" t="s">
        <v>99</v>
      </c>
      <c r="L63" t="s">
        <v>108</v>
      </c>
      <c r="M63" t="s">
        <v>43</v>
      </c>
      <c r="N63" t="s">
        <v>117</v>
      </c>
      <c r="O63" t="s">
        <v>112</v>
      </c>
      <c r="P63" t="s">
        <v>103</v>
      </c>
      <c r="Q63">
        <v>200001</v>
      </c>
      <c r="R63" t="s">
        <v>38</v>
      </c>
      <c r="S63">
        <v>1000</v>
      </c>
      <c r="V63">
        <v>1000</v>
      </c>
      <c r="W63">
        <v>1164</v>
      </c>
      <c r="X63">
        <v>750</v>
      </c>
      <c r="Y63">
        <v>0</v>
      </c>
      <c r="Z63">
        <v>0</v>
      </c>
      <c r="AA63">
        <v>873000</v>
      </c>
    </row>
    <row r="64" spans="1:27">
      <c r="A64">
        <v>121</v>
      </c>
      <c r="B64" t="s">
        <v>13</v>
      </c>
      <c r="C64" t="s">
        <v>14</v>
      </c>
      <c r="D64" t="s">
        <v>97</v>
      </c>
      <c r="E64" t="s">
        <v>74</v>
      </c>
      <c r="F64" t="s">
        <v>16</v>
      </c>
      <c r="G64">
        <v>15</v>
      </c>
      <c r="H64" t="s">
        <v>18</v>
      </c>
      <c r="I64" t="s">
        <v>98</v>
      </c>
      <c r="J64">
        <v>30</v>
      </c>
      <c r="K64" t="s">
        <v>99</v>
      </c>
      <c r="L64" t="s">
        <v>100</v>
      </c>
      <c r="M64" t="s">
        <v>20</v>
      </c>
      <c r="N64" t="s">
        <v>101</v>
      </c>
      <c r="O64" t="s">
        <v>102</v>
      </c>
      <c r="P64" t="s">
        <v>103</v>
      </c>
      <c r="Q64">
        <v>560001</v>
      </c>
      <c r="R64" t="s">
        <v>21</v>
      </c>
      <c r="U64">
        <v>30000</v>
      </c>
      <c r="V64">
        <v>285.60000000000002</v>
      </c>
      <c r="W64">
        <v>332.4384</v>
      </c>
      <c r="X64">
        <v>180</v>
      </c>
      <c r="Y64">
        <v>15</v>
      </c>
      <c r="Z64">
        <v>0.15</v>
      </c>
      <c r="AA64">
        <v>50863.075199999999</v>
      </c>
    </row>
    <row r="65" spans="1:27">
      <c r="A65">
        <v>122</v>
      </c>
      <c r="B65" t="s">
        <v>13</v>
      </c>
      <c r="C65" t="s">
        <v>14</v>
      </c>
      <c r="D65" t="s">
        <v>97</v>
      </c>
      <c r="E65" t="s">
        <v>74</v>
      </c>
      <c r="F65" t="s">
        <v>23</v>
      </c>
      <c r="G65">
        <v>20</v>
      </c>
      <c r="H65" t="s">
        <v>25</v>
      </c>
      <c r="I65" t="s">
        <v>104</v>
      </c>
      <c r="J65">
        <v>64.37</v>
      </c>
      <c r="K65" t="s">
        <v>115</v>
      </c>
      <c r="L65" t="s">
        <v>120</v>
      </c>
      <c r="M65" t="s">
        <v>27</v>
      </c>
      <c r="N65" t="s">
        <v>106</v>
      </c>
      <c r="O65" t="s">
        <v>102</v>
      </c>
      <c r="P65" t="s">
        <v>103</v>
      </c>
      <c r="Q65">
        <v>560001</v>
      </c>
      <c r="R65" t="s">
        <v>21</v>
      </c>
      <c r="U65">
        <v>25000</v>
      </c>
      <c r="V65">
        <v>238.00000000000003</v>
      </c>
      <c r="W65">
        <v>277.03200000000004</v>
      </c>
      <c r="X65">
        <v>450</v>
      </c>
      <c r="Y65">
        <v>15</v>
      </c>
      <c r="Z65">
        <v>0.15</v>
      </c>
      <c r="AA65">
        <v>105964.74000000002</v>
      </c>
    </row>
    <row r="66" spans="1:27">
      <c r="A66">
        <v>123</v>
      </c>
      <c r="B66" t="s">
        <v>13</v>
      </c>
      <c r="C66" t="s">
        <v>14</v>
      </c>
      <c r="D66" t="s">
        <v>97</v>
      </c>
      <c r="E66" t="s">
        <v>74</v>
      </c>
      <c r="F66" t="s">
        <v>29</v>
      </c>
      <c r="G66">
        <v>18</v>
      </c>
      <c r="H66" t="s">
        <v>31</v>
      </c>
      <c r="I66" t="s">
        <v>107</v>
      </c>
      <c r="J66">
        <v>25</v>
      </c>
      <c r="K66" t="s">
        <v>99</v>
      </c>
      <c r="L66" t="s">
        <v>108</v>
      </c>
      <c r="M66" t="s">
        <v>33</v>
      </c>
      <c r="N66" t="s">
        <v>109</v>
      </c>
      <c r="O66" t="s">
        <v>102</v>
      </c>
      <c r="P66" t="s">
        <v>103</v>
      </c>
      <c r="Q66">
        <v>560001</v>
      </c>
      <c r="R66" t="s">
        <v>21</v>
      </c>
      <c r="U66">
        <v>22000</v>
      </c>
      <c r="V66">
        <v>209.44000000000003</v>
      </c>
      <c r="W66">
        <v>243.78816</v>
      </c>
      <c r="X66">
        <v>300</v>
      </c>
      <c r="Y66">
        <v>15</v>
      </c>
      <c r="Z66">
        <v>0.15</v>
      </c>
      <c r="AA66">
        <v>62165.980800000005</v>
      </c>
    </row>
    <row r="67" spans="1:27">
      <c r="A67">
        <v>124</v>
      </c>
      <c r="B67" t="s">
        <v>35</v>
      </c>
      <c r="C67" t="s">
        <v>36</v>
      </c>
      <c r="D67" t="s">
        <v>110</v>
      </c>
      <c r="E67" t="s">
        <v>74</v>
      </c>
      <c r="F67" t="s">
        <v>16</v>
      </c>
      <c r="G67">
        <v>15</v>
      </c>
      <c r="H67" t="s">
        <v>18</v>
      </c>
      <c r="I67" t="s">
        <v>98</v>
      </c>
      <c r="J67">
        <v>30</v>
      </c>
      <c r="K67" t="s">
        <v>99</v>
      </c>
      <c r="L67" t="s">
        <v>100</v>
      </c>
      <c r="M67" t="s">
        <v>37</v>
      </c>
      <c r="N67" t="s">
        <v>111</v>
      </c>
      <c r="O67" t="s">
        <v>112</v>
      </c>
      <c r="P67" t="s">
        <v>103</v>
      </c>
      <c r="Q67">
        <v>200001</v>
      </c>
      <c r="R67" t="s">
        <v>38</v>
      </c>
      <c r="T67">
        <v>5000</v>
      </c>
      <c r="V67">
        <v>27.31</v>
      </c>
      <c r="W67">
        <v>31.788839999999997</v>
      </c>
      <c r="X67">
        <v>600</v>
      </c>
      <c r="Y67">
        <v>15</v>
      </c>
      <c r="Z67">
        <v>0.15</v>
      </c>
      <c r="AA67">
        <v>16212.308399999996</v>
      </c>
    </row>
    <row r="68" spans="1:27">
      <c r="A68">
        <v>125</v>
      </c>
      <c r="B68" t="s">
        <v>35</v>
      </c>
      <c r="C68" t="s">
        <v>36</v>
      </c>
      <c r="D68" t="s">
        <v>110</v>
      </c>
      <c r="E68" t="s">
        <v>74</v>
      </c>
      <c r="F68" t="s">
        <v>23</v>
      </c>
      <c r="G68">
        <v>20</v>
      </c>
      <c r="H68" t="s">
        <v>25</v>
      </c>
      <c r="I68" t="s">
        <v>104</v>
      </c>
      <c r="J68">
        <v>40</v>
      </c>
      <c r="K68" t="s">
        <v>99</v>
      </c>
      <c r="L68" t="s">
        <v>105</v>
      </c>
      <c r="M68" t="s">
        <v>40</v>
      </c>
      <c r="N68" t="s">
        <v>113</v>
      </c>
      <c r="O68" t="s">
        <v>112</v>
      </c>
      <c r="P68" t="s">
        <v>103</v>
      </c>
      <c r="Q68">
        <v>200001</v>
      </c>
      <c r="R68" t="s">
        <v>38</v>
      </c>
      <c r="T68">
        <v>3500</v>
      </c>
      <c r="V68">
        <v>19.117000000000001</v>
      </c>
      <c r="W68">
        <v>22.252188</v>
      </c>
      <c r="X68">
        <v>1500</v>
      </c>
      <c r="Y68">
        <v>15</v>
      </c>
      <c r="Z68">
        <v>0.15</v>
      </c>
      <c r="AA68">
        <v>28371.539699999998</v>
      </c>
    </row>
    <row r="69" spans="1:27">
      <c r="A69">
        <v>126</v>
      </c>
      <c r="B69" t="s">
        <v>35</v>
      </c>
      <c r="C69" t="s">
        <v>36</v>
      </c>
      <c r="D69" t="s">
        <v>110</v>
      </c>
      <c r="E69" t="s">
        <v>74</v>
      </c>
      <c r="F69" t="s">
        <v>29</v>
      </c>
      <c r="G69">
        <v>18</v>
      </c>
      <c r="H69" t="s">
        <v>31</v>
      </c>
      <c r="I69" t="s">
        <v>107</v>
      </c>
      <c r="J69">
        <v>25</v>
      </c>
      <c r="K69" t="s">
        <v>99</v>
      </c>
      <c r="L69" t="s">
        <v>108</v>
      </c>
      <c r="M69" t="s">
        <v>43</v>
      </c>
      <c r="N69" t="s">
        <v>117</v>
      </c>
      <c r="O69" t="s">
        <v>112</v>
      </c>
      <c r="P69" t="s">
        <v>103</v>
      </c>
      <c r="Q69">
        <v>200001</v>
      </c>
      <c r="R69" t="s">
        <v>38</v>
      </c>
      <c r="T69">
        <v>4200</v>
      </c>
      <c r="V69">
        <v>22.9404</v>
      </c>
      <c r="W69">
        <v>26.702625599999998</v>
      </c>
      <c r="X69">
        <v>800</v>
      </c>
      <c r="Y69">
        <v>15</v>
      </c>
      <c r="Z69">
        <v>0.15</v>
      </c>
      <c r="AA69">
        <v>18157.785407999996</v>
      </c>
    </row>
    <row r="70" spans="1:27">
      <c r="A70">
        <v>133</v>
      </c>
      <c r="B70" t="s">
        <v>13</v>
      </c>
      <c r="C70" t="s">
        <v>14</v>
      </c>
      <c r="D70" t="s">
        <v>97</v>
      </c>
      <c r="E70" t="s">
        <v>75</v>
      </c>
      <c r="F70" t="s">
        <v>16</v>
      </c>
      <c r="G70">
        <v>15</v>
      </c>
      <c r="H70" t="s">
        <v>18</v>
      </c>
      <c r="I70" t="s">
        <v>98</v>
      </c>
      <c r="J70">
        <v>30</v>
      </c>
      <c r="K70" t="s">
        <v>99</v>
      </c>
      <c r="L70" t="s">
        <v>100</v>
      </c>
      <c r="M70" t="s">
        <v>20</v>
      </c>
      <c r="N70" t="s">
        <v>101</v>
      </c>
      <c r="O70" t="s">
        <v>102</v>
      </c>
      <c r="P70" t="s">
        <v>103</v>
      </c>
      <c r="Q70">
        <v>560001</v>
      </c>
      <c r="R70" t="s">
        <v>21</v>
      </c>
      <c r="S70">
        <v>1050</v>
      </c>
      <c r="V70">
        <v>1050</v>
      </c>
      <c r="W70">
        <v>1222.1999999999998</v>
      </c>
      <c r="X70">
        <v>250</v>
      </c>
      <c r="Y70">
        <v>20</v>
      </c>
      <c r="Z70">
        <v>0.2</v>
      </c>
      <c r="AA70">
        <v>244439.99999999997</v>
      </c>
    </row>
    <row r="71" spans="1:27">
      <c r="A71">
        <v>134</v>
      </c>
      <c r="B71" t="s">
        <v>13</v>
      </c>
      <c r="C71" t="s">
        <v>14</v>
      </c>
      <c r="D71" t="s">
        <v>97</v>
      </c>
      <c r="E71" t="s">
        <v>75</v>
      </c>
      <c r="F71" t="s">
        <v>23</v>
      </c>
      <c r="G71">
        <v>20</v>
      </c>
      <c r="H71" t="s">
        <v>25</v>
      </c>
      <c r="I71" t="s">
        <v>104</v>
      </c>
      <c r="J71">
        <v>40</v>
      </c>
      <c r="K71" t="s">
        <v>99</v>
      </c>
      <c r="L71" t="s">
        <v>105</v>
      </c>
      <c r="M71" t="s">
        <v>27</v>
      </c>
      <c r="N71" t="s">
        <v>106</v>
      </c>
      <c r="O71" t="s">
        <v>102</v>
      </c>
      <c r="P71" t="s">
        <v>103</v>
      </c>
      <c r="Q71">
        <v>560001</v>
      </c>
      <c r="R71" t="s">
        <v>21</v>
      </c>
      <c r="U71">
        <v>30000</v>
      </c>
      <c r="V71">
        <v>285.60000000000002</v>
      </c>
      <c r="W71">
        <v>332.4384</v>
      </c>
      <c r="X71">
        <v>600</v>
      </c>
      <c r="Y71">
        <v>20</v>
      </c>
      <c r="Z71">
        <v>0.2</v>
      </c>
      <c r="AA71">
        <v>159570.43200000003</v>
      </c>
    </row>
    <row r="72" spans="1:27">
      <c r="A72">
        <v>135</v>
      </c>
      <c r="B72" t="s">
        <v>13</v>
      </c>
      <c r="C72" t="s">
        <v>14</v>
      </c>
      <c r="D72" t="s">
        <v>97</v>
      </c>
      <c r="E72" t="s">
        <v>75</v>
      </c>
      <c r="F72" t="s">
        <v>29</v>
      </c>
      <c r="G72">
        <v>18</v>
      </c>
      <c r="H72" t="s">
        <v>31</v>
      </c>
      <c r="I72" t="s">
        <v>107</v>
      </c>
      <c r="J72">
        <v>40.229999999999997</v>
      </c>
      <c r="K72" t="s">
        <v>115</v>
      </c>
      <c r="L72" t="s">
        <v>116</v>
      </c>
      <c r="M72" t="s">
        <v>33</v>
      </c>
      <c r="N72" t="s">
        <v>109</v>
      </c>
      <c r="O72" t="s">
        <v>102</v>
      </c>
      <c r="P72" t="s">
        <v>103</v>
      </c>
      <c r="Q72">
        <v>560001</v>
      </c>
      <c r="R72" t="s">
        <v>21</v>
      </c>
      <c r="U72">
        <v>25000</v>
      </c>
      <c r="V72">
        <v>238.00000000000003</v>
      </c>
      <c r="W72">
        <v>277.03200000000004</v>
      </c>
      <c r="X72">
        <v>400</v>
      </c>
      <c r="Y72">
        <v>20</v>
      </c>
      <c r="Z72">
        <v>0.2</v>
      </c>
      <c r="AA72">
        <v>88650.24000000002</v>
      </c>
    </row>
    <row r="73" spans="1:27">
      <c r="A73">
        <v>136</v>
      </c>
      <c r="B73" t="s">
        <v>35</v>
      </c>
      <c r="C73" t="s">
        <v>36</v>
      </c>
      <c r="D73" t="s">
        <v>110</v>
      </c>
      <c r="E73" t="s">
        <v>75</v>
      </c>
      <c r="F73" t="s">
        <v>16</v>
      </c>
      <c r="G73">
        <v>15</v>
      </c>
      <c r="H73" t="s">
        <v>18</v>
      </c>
      <c r="I73" t="s">
        <v>98</v>
      </c>
      <c r="J73">
        <v>30</v>
      </c>
      <c r="K73" t="s">
        <v>99</v>
      </c>
      <c r="L73" t="s">
        <v>100</v>
      </c>
      <c r="M73" t="s">
        <v>37</v>
      </c>
      <c r="N73" t="s">
        <v>111</v>
      </c>
      <c r="O73" t="s">
        <v>112</v>
      </c>
      <c r="P73" t="s">
        <v>103</v>
      </c>
      <c r="Q73">
        <v>200001</v>
      </c>
      <c r="R73" t="s">
        <v>38</v>
      </c>
      <c r="U73">
        <v>22000</v>
      </c>
      <c r="V73">
        <v>209.44000000000003</v>
      </c>
      <c r="W73">
        <v>243.78816</v>
      </c>
      <c r="X73">
        <v>800</v>
      </c>
      <c r="Y73">
        <v>20</v>
      </c>
      <c r="Z73">
        <v>0.2</v>
      </c>
      <c r="AA73">
        <v>156024.42240000001</v>
      </c>
    </row>
    <row r="74" spans="1:27">
      <c r="A74">
        <v>137</v>
      </c>
      <c r="B74" t="s">
        <v>35</v>
      </c>
      <c r="C74" t="s">
        <v>36</v>
      </c>
      <c r="D74" t="s">
        <v>110</v>
      </c>
      <c r="E74" t="s">
        <v>75</v>
      </c>
      <c r="F74" t="s">
        <v>23</v>
      </c>
      <c r="G74">
        <v>17.515000000000001</v>
      </c>
      <c r="H74" t="s">
        <v>25</v>
      </c>
      <c r="I74" t="s">
        <v>118</v>
      </c>
      <c r="J74">
        <v>64.37</v>
      </c>
      <c r="K74" t="s">
        <v>115</v>
      </c>
      <c r="L74" t="s">
        <v>120</v>
      </c>
      <c r="M74" t="s">
        <v>40</v>
      </c>
      <c r="N74" t="s">
        <v>113</v>
      </c>
      <c r="O74" t="s">
        <v>112</v>
      </c>
      <c r="P74" t="s">
        <v>103</v>
      </c>
      <c r="Q74">
        <v>200001</v>
      </c>
      <c r="R74" t="s">
        <v>38</v>
      </c>
      <c r="T74">
        <v>5000</v>
      </c>
      <c r="V74">
        <v>27.31</v>
      </c>
      <c r="W74">
        <v>31.788839999999997</v>
      </c>
      <c r="X74">
        <v>2000</v>
      </c>
      <c r="Y74">
        <v>20</v>
      </c>
      <c r="Z74">
        <v>0.2</v>
      </c>
      <c r="AA74">
        <v>50862.144</v>
      </c>
    </row>
    <row r="75" spans="1:27">
      <c r="A75">
        <v>138</v>
      </c>
      <c r="B75" t="s">
        <v>35</v>
      </c>
      <c r="C75" t="s">
        <v>36</v>
      </c>
      <c r="D75" t="s">
        <v>110</v>
      </c>
      <c r="E75" t="s">
        <v>75</v>
      </c>
      <c r="F75" t="s">
        <v>29</v>
      </c>
      <c r="G75">
        <v>18</v>
      </c>
      <c r="H75" t="s">
        <v>31</v>
      </c>
      <c r="I75" t="s">
        <v>107</v>
      </c>
      <c r="J75">
        <v>25</v>
      </c>
      <c r="K75" t="s">
        <v>99</v>
      </c>
      <c r="L75" t="s">
        <v>108</v>
      </c>
      <c r="M75" t="s">
        <v>43</v>
      </c>
      <c r="N75" t="s">
        <v>117</v>
      </c>
      <c r="O75" t="s">
        <v>112</v>
      </c>
      <c r="P75" t="s">
        <v>103</v>
      </c>
      <c r="Q75">
        <v>200001</v>
      </c>
      <c r="R75" t="s">
        <v>38</v>
      </c>
      <c r="T75">
        <v>3500</v>
      </c>
      <c r="V75">
        <v>19.117000000000001</v>
      </c>
      <c r="W75">
        <v>22.252188</v>
      </c>
      <c r="X75">
        <v>1200</v>
      </c>
      <c r="Y75">
        <v>20</v>
      </c>
      <c r="Z75">
        <v>0.2</v>
      </c>
      <c r="AA75">
        <v>21362.100480000001</v>
      </c>
    </row>
    <row r="76" spans="1:27">
      <c r="A76">
        <v>7</v>
      </c>
      <c r="B76" t="s">
        <v>45</v>
      </c>
      <c r="C76" t="s">
        <v>46</v>
      </c>
      <c r="D76" t="s">
        <v>123</v>
      </c>
      <c r="E76" t="s">
        <v>15</v>
      </c>
      <c r="F76" t="s">
        <v>16</v>
      </c>
      <c r="G76">
        <v>15</v>
      </c>
      <c r="H76" t="s">
        <v>18</v>
      </c>
      <c r="I76" t="s">
        <v>98</v>
      </c>
      <c r="J76">
        <v>48.28</v>
      </c>
      <c r="K76" t="s">
        <v>115</v>
      </c>
      <c r="L76" t="s">
        <v>119</v>
      </c>
      <c r="M76" t="s">
        <v>48</v>
      </c>
      <c r="N76" t="s">
        <v>124</v>
      </c>
      <c r="O76" t="s">
        <v>125</v>
      </c>
      <c r="P76" t="s">
        <v>126</v>
      </c>
      <c r="Q76">
        <v>20095</v>
      </c>
      <c r="R76" t="s">
        <v>49</v>
      </c>
      <c r="T76">
        <v>4200</v>
      </c>
      <c r="V76">
        <v>22.9404</v>
      </c>
      <c r="W76">
        <v>26.702625599999998</v>
      </c>
      <c r="X76">
        <v>120</v>
      </c>
      <c r="Y76">
        <v>10</v>
      </c>
      <c r="Z76">
        <v>0.1</v>
      </c>
      <c r="AA76">
        <v>2883.8835647999999</v>
      </c>
    </row>
    <row r="77" spans="1:27">
      <c r="A77">
        <v>8</v>
      </c>
      <c r="B77" t="s">
        <v>45</v>
      </c>
      <c r="C77" t="s">
        <v>46</v>
      </c>
      <c r="D77" t="s">
        <v>123</v>
      </c>
      <c r="E77" t="s">
        <v>15</v>
      </c>
      <c r="F77" t="s">
        <v>23</v>
      </c>
      <c r="G77">
        <v>20</v>
      </c>
      <c r="H77" t="s">
        <v>25</v>
      </c>
      <c r="I77" t="s">
        <v>104</v>
      </c>
      <c r="J77">
        <v>40</v>
      </c>
      <c r="K77" t="s">
        <v>99</v>
      </c>
      <c r="L77" t="s">
        <v>105</v>
      </c>
      <c r="M77" t="s">
        <v>51</v>
      </c>
      <c r="N77" t="s">
        <v>127</v>
      </c>
      <c r="O77" t="s">
        <v>125</v>
      </c>
      <c r="P77" t="s">
        <v>126</v>
      </c>
      <c r="Q77">
        <v>20095</v>
      </c>
      <c r="R77" t="s">
        <v>49</v>
      </c>
      <c r="S77">
        <v>1000</v>
      </c>
      <c r="V77">
        <v>1000</v>
      </c>
      <c r="W77">
        <v>1164</v>
      </c>
      <c r="X77">
        <v>200</v>
      </c>
      <c r="Y77">
        <v>10</v>
      </c>
      <c r="Z77">
        <v>0.1</v>
      </c>
      <c r="AA77">
        <v>209520</v>
      </c>
    </row>
    <row r="78" spans="1:27">
      <c r="A78">
        <v>9</v>
      </c>
      <c r="B78" t="s">
        <v>45</v>
      </c>
      <c r="C78" t="s">
        <v>46</v>
      </c>
      <c r="D78" t="s">
        <v>123</v>
      </c>
      <c r="E78" t="s">
        <v>15</v>
      </c>
      <c r="F78" t="s">
        <v>29</v>
      </c>
      <c r="G78">
        <v>18</v>
      </c>
      <c r="H78" t="s">
        <v>31</v>
      </c>
      <c r="I78" t="s">
        <v>107</v>
      </c>
      <c r="J78">
        <v>25</v>
      </c>
      <c r="K78" t="s">
        <v>99</v>
      </c>
      <c r="L78" t="s">
        <v>108</v>
      </c>
      <c r="M78" t="s">
        <v>53</v>
      </c>
      <c r="N78" t="s">
        <v>128</v>
      </c>
      <c r="O78" t="s">
        <v>125</v>
      </c>
      <c r="P78" t="s">
        <v>126</v>
      </c>
      <c r="Q78">
        <v>20095</v>
      </c>
      <c r="R78" t="s">
        <v>49</v>
      </c>
      <c r="S78">
        <v>800</v>
      </c>
      <c r="V78">
        <v>800</v>
      </c>
      <c r="W78">
        <v>931.19999999999993</v>
      </c>
      <c r="X78">
        <v>150</v>
      </c>
      <c r="Y78">
        <v>10</v>
      </c>
      <c r="Z78">
        <v>0.1</v>
      </c>
      <c r="AA78">
        <v>125712</v>
      </c>
    </row>
    <row r="79" spans="1:27">
      <c r="A79">
        <v>10</v>
      </c>
      <c r="B79" t="s">
        <v>55</v>
      </c>
      <c r="C79" t="s">
        <v>56</v>
      </c>
      <c r="D79" t="s">
        <v>129</v>
      </c>
      <c r="E79" t="s">
        <v>15</v>
      </c>
      <c r="F79" t="s">
        <v>16</v>
      </c>
      <c r="G79">
        <v>15</v>
      </c>
      <c r="H79" t="s">
        <v>18</v>
      </c>
      <c r="I79" t="s">
        <v>98</v>
      </c>
      <c r="J79">
        <v>30</v>
      </c>
      <c r="K79" t="s">
        <v>99</v>
      </c>
      <c r="L79" t="s">
        <v>100</v>
      </c>
      <c r="M79" t="s">
        <v>57</v>
      </c>
      <c r="N79" t="s">
        <v>130</v>
      </c>
      <c r="O79" t="s">
        <v>131</v>
      </c>
      <c r="P79" t="s">
        <v>126</v>
      </c>
      <c r="Q79">
        <v>75005</v>
      </c>
      <c r="R79" t="s">
        <v>58</v>
      </c>
      <c r="S79">
        <v>800</v>
      </c>
      <c r="V79">
        <v>800</v>
      </c>
      <c r="W79">
        <v>931.19999999999993</v>
      </c>
      <c r="X79">
        <v>100</v>
      </c>
      <c r="Y79">
        <v>10</v>
      </c>
      <c r="Z79">
        <v>0.1</v>
      </c>
      <c r="AA79">
        <v>83808</v>
      </c>
    </row>
    <row r="80" spans="1:27">
      <c r="A80">
        <v>11</v>
      </c>
      <c r="B80" t="s">
        <v>55</v>
      </c>
      <c r="C80" t="s">
        <v>56</v>
      </c>
      <c r="D80" t="s">
        <v>129</v>
      </c>
      <c r="E80" t="s">
        <v>15</v>
      </c>
      <c r="F80" t="s">
        <v>23</v>
      </c>
      <c r="G80">
        <v>20</v>
      </c>
      <c r="H80" t="s">
        <v>25</v>
      </c>
      <c r="I80" t="s">
        <v>104</v>
      </c>
      <c r="J80">
        <v>64.37</v>
      </c>
      <c r="K80" t="s">
        <v>115</v>
      </c>
      <c r="L80" t="s">
        <v>120</v>
      </c>
      <c r="M80" t="s">
        <v>61</v>
      </c>
      <c r="N80" t="s">
        <v>132</v>
      </c>
      <c r="O80" t="s">
        <v>131</v>
      </c>
      <c r="P80" t="s">
        <v>126</v>
      </c>
      <c r="Q80">
        <v>75005</v>
      </c>
      <c r="R80" t="s">
        <v>58</v>
      </c>
      <c r="S80">
        <v>950</v>
      </c>
      <c r="V80">
        <v>950</v>
      </c>
      <c r="W80">
        <v>1105.8</v>
      </c>
      <c r="X80">
        <v>250</v>
      </c>
      <c r="Y80">
        <v>10</v>
      </c>
      <c r="Z80">
        <v>0.1</v>
      </c>
      <c r="AA80">
        <v>248805</v>
      </c>
    </row>
    <row r="81" spans="1:27">
      <c r="A81">
        <v>12</v>
      </c>
      <c r="B81" t="s">
        <v>55</v>
      </c>
      <c r="C81" t="s">
        <v>56</v>
      </c>
      <c r="D81" t="s">
        <v>129</v>
      </c>
      <c r="E81" t="s">
        <v>15</v>
      </c>
      <c r="F81" t="s">
        <v>29</v>
      </c>
      <c r="G81">
        <v>18</v>
      </c>
      <c r="H81" t="s">
        <v>31</v>
      </c>
      <c r="I81" t="s">
        <v>107</v>
      </c>
      <c r="J81">
        <v>25</v>
      </c>
      <c r="K81" t="s">
        <v>99</v>
      </c>
      <c r="L81" t="s">
        <v>108</v>
      </c>
      <c r="M81" t="s">
        <v>63</v>
      </c>
      <c r="N81" t="s">
        <v>133</v>
      </c>
      <c r="O81" t="s">
        <v>131</v>
      </c>
      <c r="P81" t="s">
        <v>126</v>
      </c>
      <c r="Q81">
        <v>75005</v>
      </c>
      <c r="R81" t="s">
        <v>58</v>
      </c>
      <c r="S81">
        <v>1100</v>
      </c>
      <c r="V81">
        <v>1100</v>
      </c>
      <c r="W81">
        <v>1280.3999999999999</v>
      </c>
      <c r="X81">
        <v>180</v>
      </c>
      <c r="Y81">
        <v>10</v>
      </c>
      <c r="Z81">
        <v>0.1</v>
      </c>
      <c r="AA81">
        <v>207424.8</v>
      </c>
    </row>
    <row r="82" spans="1:27">
      <c r="A82">
        <v>19</v>
      </c>
      <c r="B82" t="s">
        <v>45</v>
      </c>
      <c r="C82" t="s">
        <v>46</v>
      </c>
      <c r="D82" t="s">
        <v>123</v>
      </c>
      <c r="E82" t="s">
        <v>65</v>
      </c>
      <c r="F82" t="s">
        <v>16</v>
      </c>
      <c r="G82">
        <v>15</v>
      </c>
      <c r="H82" t="s">
        <v>18</v>
      </c>
      <c r="I82" t="s">
        <v>98</v>
      </c>
      <c r="J82">
        <v>30</v>
      </c>
      <c r="K82" t="s">
        <v>99</v>
      </c>
      <c r="L82" t="s">
        <v>100</v>
      </c>
      <c r="M82" t="s">
        <v>48</v>
      </c>
      <c r="N82" t="s">
        <v>124</v>
      </c>
      <c r="O82" t="s">
        <v>125</v>
      </c>
      <c r="P82" t="s">
        <v>126</v>
      </c>
      <c r="Q82">
        <v>20095</v>
      </c>
      <c r="R82" t="s">
        <v>49</v>
      </c>
      <c r="T82">
        <v>3500</v>
      </c>
      <c r="V82">
        <v>19.117000000000001</v>
      </c>
      <c r="W82">
        <v>22.252188</v>
      </c>
      <c r="X82">
        <v>130</v>
      </c>
      <c r="Y82">
        <v>0</v>
      </c>
      <c r="Z82">
        <v>0</v>
      </c>
      <c r="AA82">
        <v>2892.7844399999999</v>
      </c>
    </row>
    <row r="83" spans="1:27">
      <c r="A83">
        <v>20</v>
      </c>
      <c r="B83" t="s">
        <v>45</v>
      </c>
      <c r="C83" t="s">
        <v>46</v>
      </c>
      <c r="D83" t="s">
        <v>123</v>
      </c>
      <c r="E83" t="s">
        <v>65</v>
      </c>
      <c r="F83" t="s">
        <v>23</v>
      </c>
      <c r="G83">
        <v>20</v>
      </c>
      <c r="H83" t="s">
        <v>25</v>
      </c>
      <c r="I83" t="s">
        <v>104</v>
      </c>
      <c r="J83">
        <v>40</v>
      </c>
      <c r="K83" t="s">
        <v>99</v>
      </c>
      <c r="L83" t="s">
        <v>105</v>
      </c>
      <c r="M83" t="s">
        <v>51</v>
      </c>
      <c r="N83" t="s">
        <v>127</v>
      </c>
      <c r="O83" t="s">
        <v>125</v>
      </c>
      <c r="P83" t="s">
        <v>126</v>
      </c>
      <c r="Q83">
        <v>20095</v>
      </c>
      <c r="R83" t="s">
        <v>49</v>
      </c>
      <c r="T83">
        <v>3500</v>
      </c>
      <c r="V83">
        <v>19.117000000000001</v>
      </c>
      <c r="W83">
        <v>22.252188</v>
      </c>
      <c r="X83">
        <v>220</v>
      </c>
      <c r="Y83">
        <v>0</v>
      </c>
      <c r="Z83">
        <v>0</v>
      </c>
      <c r="AA83">
        <v>4895.4813599999998</v>
      </c>
    </row>
    <row r="84" spans="1:27">
      <c r="A84">
        <v>21</v>
      </c>
      <c r="B84" t="s">
        <v>45</v>
      </c>
      <c r="C84" t="s">
        <v>46</v>
      </c>
      <c r="D84" t="s">
        <v>123</v>
      </c>
      <c r="E84" t="s">
        <v>65</v>
      </c>
      <c r="F84" t="s">
        <v>29</v>
      </c>
      <c r="G84">
        <v>18</v>
      </c>
      <c r="H84" t="s">
        <v>31</v>
      </c>
      <c r="I84" t="s">
        <v>107</v>
      </c>
      <c r="J84">
        <v>25</v>
      </c>
      <c r="K84" t="s">
        <v>99</v>
      </c>
      <c r="L84" t="s">
        <v>108</v>
      </c>
      <c r="M84" t="s">
        <v>53</v>
      </c>
      <c r="N84" t="s">
        <v>128</v>
      </c>
      <c r="O84" t="s">
        <v>125</v>
      </c>
      <c r="P84" t="s">
        <v>126</v>
      </c>
      <c r="Q84">
        <v>20095</v>
      </c>
      <c r="R84" t="s">
        <v>49</v>
      </c>
      <c r="T84">
        <v>4200</v>
      </c>
      <c r="V84">
        <v>22.9404</v>
      </c>
      <c r="W84">
        <v>26.702625599999998</v>
      </c>
      <c r="X84">
        <v>160</v>
      </c>
      <c r="Y84">
        <v>0</v>
      </c>
      <c r="Z84">
        <v>0</v>
      </c>
      <c r="AA84">
        <v>4272.4200959999998</v>
      </c>
    </row>
    <row r="85" spans="1:27">
      <c r="A85">
        <v>22</v>
      </c>
      <c r="B85" t="s">
        <v>55</v>
      </c>
      <c r="C85" t="s">
        <v>56</v>
      </c>
      <c r="D85" t="s">
        <v>129</v>
      </c>
      <c r="E85" t="s">
        <v>65</v>
      </c>
      <c r="F85" t="s">
        <v>16</v>
      </c>
      <c r="G85">
        <v>15</v>
      </c>
      <c r="H85" t="s">
        <v>18</v>
      </c>
      <c r="I85" t="s">
        <v>98</v>
      </c>
      <c r="J85">
        <v>30</v>
      </c>
      <c r="K85" t="s">
        <v>99</v>
      </c>
      <c r="L85" t="s">
        <v>100</v>
      </c>
      <c r="M85" t="s">
        <v>57</v>
      </c>
      <c r="N85" t="s">
        <v>130</v>
      </c>
      <c r="O85" t="s">
        <v>131</v>
      </c>
      <c r="P85" t="s">
        <v>126</v>
      </c>
      <c r="Q85">
        <v>75005</v>
      </c>
      <c r="R85" t="s">
        <v>58</v>
      </c>
      <c r="S85">
        <v>1000</v>
      </c>
      <c r="V85">
        <v>1000</v>
      </c>
      <c r="W85">
        <v>1164</v>
      </c>
      <c r="X85">
        <v>110</v>
      </c>
      <c r="Y85">
        <v>0</v>
      </c>
      <c r="Z85">
        <v>0</v>
      </c>
      <c r="AA85">
        <v>128040</v>
      </c>
    </row>
    <row r="86" spans="1:27">
      <c r="A86">
        <v>23</v>
      </c>
      <c r="B86" t="s">
        <v>55</v>
      </c>
      <c r="C86" t="s">
        <v>56</v>
      </c>
      <c r="D86" t="s">
        <v>129</v>
      </c>
      <c r="E86" t="s">
        <v>65</v>
      </c>
      <c r="F86" t="s">
        <v>23</v>
      </c>
      <c r="G86">
        <v>20</v>
      </c>
      <c r="H86" t="s">
        <v>25</v>
      </c>
      <c r="I86" t="s">
        <v>104</v>
      </c>
      <c r="J86">
        <v>40</v>
      </c>
      <c r="K86" t="s">
        <v>99</v>
      </c>
      <c r="L86" t="s">
        <v>105</v>
      </c>
      <c r="M86" t="s">
        <v>61</v>
      </c>
      <c r="N86" t="s">
        <v>132</v>
      </c>
      <c r="O86" t="s">
        <v>131</v>
      </c>
      <c r="P86" t="s">
        <v>126</v>
      </c>
      <c r="Q86">
        <v>75005</v>
      </c>
      <c r="R86" t="s">
        <v>58</v>
      </c>
      <c r="S86">
        <v>800</v>
      </c>
      <c r="V86">
        <v>800</v>
      </c>
      <c r="W86">
        <v>931.19999999999993</v>
      </c>
      <c r="X86">
        <v>260</v>
      </c>
      <c r="Y86">
        <v>0</v>
      </c>
      <c r="Z86">
        <v>0</v>
      </c>
      <c r="AA86">
        <v>242111.99999999997</v>
      </c>
    </row>
    <row r="87" spans="1:27">
      <c r="A87">
        <v>24</v>
      </c>
      <c r="B87" t="s">
        <v>55</v>
      </c>
      <c r="C87" t="s">
        <v>56</v>
      </c>
      <c r="D87" t="s">
        <v>129</v>
      </c>
      <c r="E87" t="s">
        <v>65</v>
      </c>
      <c r="F87" t="s">
        <v>29</v>
      </c>
      <c r="G87">
        <v>18</v>
      </c>
      <c r="H87" t="s">
        <v>31</v>
      </c>
      <c r="I87" t="s">
        <v>107</v>
      </c>
      <c r="J87">
        <v>40.229999999999997</v>
      </c>
      <c r="K87" t="s">
        <v>115</v>
      </c>
      <c r="L87" t="s">
        <v>116</v>
      </c>
      <c r="M87" t="s">
        <v>63</v>
      </c>
      <c r="N87" t="s">
        <v>133</v>
      </c>
      <c r="O87" t="s">
        <v>131</v>
      </c>
      <c r="P87" t="s">
        <v>126</v>
      </c>
      <c r="Q87">
        <v>75005</v>
      </c>
      <c r="R87" t="s">
        <v>58</v>
      </c>
      <c r="S87">
        <v>950</v>
      </c>
      <c r="V87">
        <v>950</v>
      </c>
      <c r="W87">
        <v>1105.8</v>
      </c>
      <c r="X87">
        <v>200</v>
      </c>
      <c r="Y87">
        <v>0</v>
      </c>
      <c r="Z87">
        <v>0</v>
      </c>
      <c r="AA87">
        <v>221160</v>
      </c>
    </row>
    <row r="88" spans="1:27">
      <c r="A88">
        <v>31</v>
      </c>
      <c r="B88" t="s">
        <v>45</v>
      </c>
      <c r="C88" t="s">
        <v>46</v>
      </c>
      <c r="D88" t="s">
        <v>123</v>
      </c>
      <c r="E88" t="s">
        <v>66</v>
      </c>
      <c r="F88" t="s">
        <v>16</v>
      </c>
      <c r="G88">
        <v>15</v>
      </c>
      <c r="H88" t="s">
        <v>18</v>
      </c>
      <c r="I88" t="s">
        <v>98</v>
      </c>
      <c r="J88">
        <v>30</v>
      </c>
      <c r="K88" t="s">
        <v>99</v>
      </c>
      <c r="L88" t="s">
        <v>100</v>
      </c>
      <c r="M88" t="s">
        <v>48</v>
      </c>
      <c r="N88" t="s">
        <v>124</v>
      </c>
      <c r="O88" t="s">
        <v>125</v>
      </c>
      <c r="P88" t="s">
        <v>126</v>
      </c>
      <c r="Q88">
        <v>20095</v>
      </c>
      <c r="R88" t="s">
        <v>49</v>
      </c>
      <c r="U88">
        <v>22000</v>
      </c>
      <c r="V88">
        <v>209.44000000000003</v>
      </c>
      <c r="W88">
        <v>243.78816</v>
      </c>
      <c r="X88">
        <v>130</v>
      </c>
      <c r="Y88">
        <v>0</v>
      </c>
      <c r="Z88">
        <v>0</v>
      </c>
      <c r="AA88">
        <v>31692.460800000001</v>
      </c>
    </row>
    <row r="89" spans="1:27">
      <c r="A89">
        <v>32</v>
      </c>
      <c r="B89" t="s">
        <v>45</v>
      </c>
      <c r="C89" t="s">
        <v>46</v>
      </c>
      <c r="D89" t="s">
        <v>123</v>
      </c>
      <c r="E89" t="s">
        <v>66</v>
      </c>
      <c r="F89" t="s">
        <v>23</v>
      </c>
      <c r="G89">
        <v>20</v>
      </c>
      <c r="H89" t="s">
        <v>25</v>
      </c>
      <c r="I89" t="s">
        <v>104</v>
      </c>
      <c r="J89">
        <v>40</v>
      </c>
      <c r="K89" t="s">
        <v>99</v>
      </c>
      <c r="L89" t="s">
        <v>105</v>
      </c>
      <c r="M89" t="s">
        <v>51</v>
      </c>
      <c r="N89" t="s">
        <v>127</v>
      </c>
      <c r="O89" t="s">
        <v>125</v>
      </c>
      <c r="P89" t="s">
        <v>126</v>
      </c>
      <c r="Q89">
        <v>20095</v>
      </c>
      <c r="R89" t="s">
        <v>49</v>
      </c>
      <c r="T89">
        <v>5000</v>
      </c>
      <c r="V89">
        <v>27.31</v>
      </c>
      <c r="W89">
        <v>31.788839999999997</v>
      </c>
      <c r="X89">
        <v>220</v>
      </c>
      <c r="Y89">
        <v>0</v>
      </c>
      <c r="Z89">
        <v>0</v>
      </c>
      <c r="AA89">
        <v>6993.5447999999997</v>
      </c>
    </row>
    <row r="90" spans="1:27">
      <c r="A90">
        <v>33</v>
      </c>
      <c r="B90" t="s">
        <v>45</v>
      </c>
      <c r="C90" t="s">
        <v>46</v>
      </c>
      <c r="D90" t="s">
        <v>123</v>
      </c>
      <c r="E90" t="s">
        <v>66</v>
      </c>
      <c r="F90" t="s">
        <v>29</v>
      </c>
      <c r="G90">
        <v>18</v>
      </c>
      <c r="H90" t="s">
        <v>31</v>
      </c>
      <c r="I90" t="s">
        <v>107</v>
      </c>
      <c r="J90">
        <v>25</v>
      </c>
      <c r="K90" t="s">
        <v>99</v>
      </c>
      <c r="L90" t="s">
        <v>108</v>
      </c>
      <c r="M90" t="s">
        <v>53</v>
      </c>
      <c r="N90" t="s">
        <v>128</v>
      </c>
      <c r="O90" t="s">
        <v>125</v>
      </c>
      <c r="P90" t="s">
        <v>126</v>
      </c>
      <c r="Q90">
        <v>20095</v>
      </c>
      <c r="R90" t="s">
        <v>49</v>
      </c>
      <c r="T90">
        <v>3500</v>
      </c>
      <c r="V90">
        <v>19.117000000000001</v>
      </c>
      <c r="W90">
        <v>22.252188</v>
      </c>
      <c r="X90">
        <v>160</v>
      </c>
      <c r="Y90">
        <v>0</v>
      </c>
      <c r="Z90">
        <v>0</v>
      </c>
      <c r="AA90">
        <v>3560.3500800000002</v>
      </c>
    </row>
    <row r="91" spans="1:27">
      <c r="A91">
        <v>34</v>
      </c>
      <c r="B91" t="s">
        <v>55</v>
      </c>
      <c r="C91" t="s">
        <v>56</v>
      </c>
      <c r="D91" t="s">
        <v>129</v>
      </c>
      <c r="E91" t="s">
        <v>66</v>
      </c>
      <c r="F91" t="s">
        <v>16</v>
      </c>
      <c r="G91">
        <v>15</v>
      </c>
      <c r="H91" t="s">
        <v>18</v>
      </c>
      <c r="I91" t="s">
        <v>98</v>
      </c>
      <c r="J91">
        <v>48.28</v>
      </c>
      <c r="K91" t="s">
        <v>115</v>
      </c>
      <c r="L91" t="s">
        <v>119</v>
      </c>
      <c r="M91" t="s">
        <v>57</v>
      </c>
      <c r="N91" t="s">
        <v>130</v>
      </c>
      <c r="O91" t="s">
        <v>131</v>
      </c>
      <c r="P91" t="s">
        <v>126</v>
      </c>
      <c r="Q91">
        <v>75005</v>
      </c>
      <c r="R91" t="s">
        <v>58</v>
      </c>
      <c r="T91">
        <v>4200</v>
      </c>
      <c r="V91">
        <v>22.9404</v>
      </c>
      <c r="W91">
        <v>26.702625599999998</v>
      </c>
      <c r="X91">
        <v>110</v>
      </c>
      <c r="Y91">
        <v>0</v>
      </c>
      <c r="Z91">
        <v>0</v>
      </c>
      <c r="AA91">
        <v>2937.2888159999998</v>
      </c>
    </row>
    <row r="92" spans="1:27">
      <c r="A92">
        <v>35</v>
      </c>
      <c r="B92" t="s">
        <v>55</v>
      </c>
      <c r="C92" t="s">
        <v>56</v>
      </c>
      <c r="D92" t="s">
        <v>129</v>
      </c>
      <c r="E92" t="s">
        <v>66</v>
      </c>
      <c r="F92" t="s">
        <v>23</v>
      </c>
      <c r="G92">
        <v>20</v>
      </c>
      <c r="H92" t="s">
        <v>25</v>
      </c>
      <c r="I92" t="s">
        <v>104</v>
      </c>
      <c r="J92">
        <v>40</v>
      </c>
      <c r="K92" t="s">
        <v>99</v>
      </c>
      <c r="L92" t="s">
        <v>105</v>
      </c>
      <c r="M92" t="s">
        <v>61</v>
      </c>
      <c r="N92" t="s">
        <v>132</v>
      </c>
      <c r="O92" t="s">
        <v>131</v>
      </c>
      <c r="P92" t="s">
        <v>126</v>
      </c>
      <c r="Q92">
        <v>75005</v>
      </c>
      <c r="R92" t="s">
        <v>58</v>
      </c>
      <c r="T92">
        <v>4200</v>
      </c>
      <c r="V92">
        <v>22.9404</v>
      </c>
      <c r="W92">
        <v>26.702625599999998</v>
      </c>
      <c r="X92">
        <v>260</v>
      </c>
      <c r="Y92">
        <v>0</v>
      </c>
      <c r="Z92">
        <v>0</v>
      </c>
      <c r="AA92">
        <v>6942.682655999999</v>
      </c>
    </row>
    <row r="93" spans="1:27">
      <c r="A93">
        <v>36</v>
      </c>
      <c r="B93" t="s">
        <v>55</v>
      </c>
      <c r="C93" t="s">
        <v>56</v>
      </c>
      <c r="D93" t="s">
        <v>129</v>
      </c>
      <c r="E93" t="s">
        <v>66</v>
      </c>
      <c r="F93" t="s">
        <v>29</v>
      </c>
      <c r="G93">
        <v>18</v>
      </c>
      <c r="H93" t="s">
        <v>31</v>
      </c>
      <c r="I93" t="s">
        <v>107</v>
      </c>
      <c r="J93">
        <v>25</v>
      </c>
      <c r="K93" t="s">
        <v>99</v>
      </c>
      <c r="L93" t="s">
        <v>108</v>
      </c>
      <c r="M93" t="s">
        <v>63</v>
      </c>
      <c r="N93" t="s">
        <v>133</v>
      </c>
      <c r="O93" t="s">
        <v>131</v>
      </c>
      <c r="P93" t="s">
        <v>126</v>
      </c>
      <c r="Q93">
        <v>75005</v>
      </c>
      <c r="R93" t="s">
        <v>58</v>
      </c>
      <c r="S93">
        <v>1000</v>
      </c>
      <c r="V93">
        <v>1000</v>
      </c>
      <c r="W93">
        <v>1164</v>
      </c>
      <c r="X93">
        <v>200</v>
      </c>
      <c r="Y93">
        <v>0</v>
      </c>
      <c r="Z93">
        <v>0</v>
      </c>
      <c r="AA93">
        <v>232800</v>
      </c>
    </row>
    <row r="94" spans="1:27">
      <c r="A94">
        <v>43</v>
      </c>
      <c r="B94" t="s">
        <v>45</v>
      </c>
      <c r="C94" t="s">
        <v>46</v>
      </c>
      <c r="D94" t="s">
        <v>123</v>
      </c>
      <c r="E94" t="s">
        <v>67</v>
      </c>
      <c r="F94" t="s">
        <v>16</v>
      </c>
      <c r="G94">
        <v>15</v>
      </c>
      <c r="H94" t="s">
        <v>18</v>
      </c>
      <c r="I94" t="s">
        <v>98</v>
      </c>
      <c r="J94">
        <v>48.28</v>
      </c>
      <c r="K94" t="s">
        <v>115</v>
      </c>
      <c r="L94" t="s">
        <v>119</v>
      </c>
      <c r="M94" t="s">
        <v>48</v>
      </c>
      <c r="N94" t="s">
        <v>124</v>
      </c>
      <c r="O94" t="s">
        <v>125</v>
      </c>
      <c r="P94" t="s">
        <v>126</v>
      </c>
      <c r="Q94">
        <v>20095</v>
      </c>
      <c r="R94" t="s">
        <v>49</v>
      </c>
      <c r="U94">
        <v>25000</v>
      </c>
      <c r="V94">
        <v>238.00000000000003</v>
      </c>
      <c r="W94">
        <v>277.03200000000004</v>
      </c>
      <c r="X94">
        <v>160</v>
      </c>
      <c r="Y94">
        <v>0</v>
      </c>
      <c r="Z94">
        <v>0</v>
      </c>
      <c r="AA94">
        <v>44325.12000000001</v>
      </c>
    </row>
    <row r="95" spans="1:27">
      <c r="A95">
        <v>44</v>
      </c>
      <c r="B95" t="s">
        <v>45</v>
      </c>
      <c r="C95" t="s">
        <v>46</v>
      </c>
      <c r="D95" t="s">
        <v>123</v>
      </c>
      <c r="E95" t="s">
        <v>67</v>
      </c>
      <c r="F95" t="s">
        <v>23</v>
      </c>
      <c r="G95">
        <v>20</v>
      </c>
      <c r="H95" t="s">
        <v>25</v>
      </c>
      <c r="I95" t="s">
        <v>104</v>
      </c>
      <c r="J95">
        <v>40</v>
      </c>
      <c r="K95" t="s">
        <v>99</v>
      </c>
      <c r="L95" t="s">
        <v>105</v>
      </c>
      <c r="M95" t="s">
        <v>51</v>
      </c>
      <c r="N95" t="s">
        <v>127</v>
      </c>
      <c r="O95" t="s">
        <v>125</v>
      </c>
      <c r="P95" t="s">
        <v>126</v>
      </c>
      <c r="Q95">
        <v>20095</v>
      </c>
      <c r="R95" t="s">
        <v>49</v>
      </c>
      <c r="U95">
        <v>22000</v>
      </c>
      <c r="V95">
        <v>209.44000000000003</v>
      </c>
      <c r="W95">
        <v>243.78816</v>
      </c>
      <c r="X95">
        <v>280</v>
      </c>
      <c r="Y95">
        <v>0</v>
      </c>
      <c r="Z95">
        <v>0</v>
      </c>
      <c r="AA95">
        <v>68260.684800000003</v>
      </c>
    </row>
    <row r="96" spans="1:27">
      <c r="A96">
        <v>45</v>
      </c>
      <c r="B96" t="s">
        <v>45</v>
      </c>
      <c r="C96" t="s">
        <v>46</v>
      </c>
      <c r="D96" t="s">
        <v>123</v>
      </c>
      <c r="E96" t="s">
        <v>67</v>
      </c>
      <c r="F96" t="s">
        <v>29</v>
      </c>
      <c r="G96">
        <v>18</v>
      </c>
      <c r="H96" t="s">
        <v>31</v>
      </c>
      <c r="I96" t="s">
        <v>107</v>
      </c>
      <c r="J96">
        <v>25</v>
      </c>
      <c r="K96" t="s">
        <v>99</v>
      </c>
      <c r="L96" t="s">
        <v>108</v>
      </c>
      <c r="M96" t="s">
        <v>53</v>
      </c>
      <c r="N96" t="s">
        <v>128</v>
      </c>
      <c r="O96" t="s">
        <v>125</v>
      </c>
      <c r="P96" t="s">
        <v>126</v>
      </c>
      <c r="Q96">
        <v>20095</v>
      </c>
      <c r="R96" t="s">
        <v>49</v>
      </c>
      <c r="T96">
        <v>5000</v>
      </c>
      <c r="V96">
        <v>27.31</v>
      </c>
      <c r="W96">
        <v>31.788839999999997</v>
      </c>
      <c r="X96">
        <v>200</v>
      </c>
      <c r="Y96">
        <v>0</v>
      </c>
      <c r="Z96">
        <v>0</v>
      </c>
      <c r="AA96">
        <v>6357.7679999999991</v>
      </c>
    </row>
    <row r="97" spans="1:27">
      <c r="A97">
        <v>46</v>
      </c>
      <c r="B97" t="s">
        <v>55</v>
      </c>
      <c r="C97" t="s">
        <v>56</v>
      </c>
      <c r="D97" t="s">
        <v>129</v>
      </c>
      <c r="E97" t="s">
        <v>67</v>
      </c>
      <c r="F97" t="s">
        <v>16</v>
      </c>
      <c r="G97">
        <v>15</v>
      </c>
      <c r="H97" t="s">
        <v>18</v>
      </c>
      <c r="I97" t="s">
        <v>98</v>
      </c>
      <c r="J97">
        <v>30</v>
      </c>
      <c r="K97" t="s">
        <v>99</v>
      </c>
      <c r="L97" t="s">
        <v>100</v>
      </c>
      <c r="M97" t="s">
        <v>57</v>
      </c>
      <c r="N97" t="s">
        <v>130</v>
      </c>
      <c r="O97" t="s">
        <v>131</v>
      </c>
      <c r="P97" t="s">
        <v>126</v>
      </c>
      <c r="Q97">
        <v>75005</v>
      </c>
      <c r="R97" t="s">
        <v>58</v>
      </c>
      <c r="T97">
        <v>3500</v>
      </c>
      <c r="V97">
        <v>19.117000000000001</v>
      </c>
      <c r="W97">
        <v>22.252188</v>
      </c>
      <c r="X97">
        <v>130</v>
      </c>
      <c r="Y97">
        <v>0</v>
      </c>
      <c r="Z97">
        <v>0</v>
      </c>
      <c r="AA97">
        <v>2892.7844399999999</v>
      </c>
    </row>
    <row r="98" spans="1:27">
      <c r="A98">
        <v>47</v>
      </c>
      <c r="B98" t="s">
        <v>55</v>
      </c>
      <c r="C98" t="s">
        <v>56</v>
      </c>
      <c r="D98" t="s">
        <v>129</v>
      </c>
      <c r="E98" t="s">
        <v>67</v>
      </c>
      <c r="F98" t="s">
        <v>23</v>
      </c>
      <c r="G98">
        <v>20</v>
      </c>
      <c r="H98" t="s">
        <v>25</v>
      </c>
      <c r="I98" t="s">
        <v>104</v>
      </c>
      <c r="J98">
        <v>40</v>
      </c>
      <c r="K98" t="s">
        <v>99</v>
      </c>
      <c r="L98" t="s">
        <v>105</v>
      </c>
      <c r="M98" t="s">
        <v>61</v>
      </c>
      <c r="N98" t="s">
        <v>132</v>
      </c>
      <c r="O98" t="s">
        <v>131</v>
      </c>
      <c r="P98" t="s">
        <v>126</v>
      </c>
      <c r="Q98">
        <v>75005</v>
      </c>
      <c r="R98" t="s">
        <v>58</v>
      </c>
      <c r="T98">
        <v>4200</v>
      </c>
      <c r="V98">
        <v>22.9404</v>
      </c>
      <c r="W98">
        <v>26.702625599999998</v>
      </c>
      <c r="X98">
        <v>300</v>
      </c>
      <c r="Y98">
        <v>0</v>
      </c>
      <c r="Z98">
        <v>0</v>
      </c>
      <c r="AA98">
        <v>8010.7876799999995</v>
      </c>
    </row>
    <row r="99" spans="1:27">
      <c r="A99">
        <v>48</v>
      </c>
      <c r="B99" t="s">
        <v>55</v>
      </c>
      <c r="C99" t="s">
        <v>56</v>
      </c>
      <c r="D99" t="s">
        <v>129</v>
      </c>
      <c r="E99" t="s">
        <v>67</v>
      </c>
      <c r="F99" t="s">
        <v>29</v>
      </c>
      <c r="G99">
        <v>17.515000000000001</v>
      </c>
      <c r="H99" t="s">
        <v>31</v>
      </c>
      <c r="I99" t="s">
        <v>122</v>
      </c>
      <c r="J99">
        <v>40.229999999999997</v>
      </c>
      <c r="K99" t="s">
        <v>115</v>
      </c>
      <c r="L99" t="s">
        <v>116</v>
      </c>
      <c r="M99" t="s">
        <v>63</v>
      </c>
      <c r="N99" t="s">
        <v>133</v>
      </c>
      <c r="O99" t="s">
        <v>131</v>
      </c>
      <c r="P99" t="s">
        <v>126</v>
      </c>
      <c r="Q99">
        <v>75005</v>
      </c>
      <c r="R99" t="s">
        <v>58</v>
      </c>
      <c r="S99">
        <v>1000</v>
      </c>
      <c r="V99">
        <v>1000</v>
      </c>
      <c r="W99">
        <v>1164</v>
      </c>
      <c r="X99">
        <v>230</v>
      </c>
      <c r="Y99">
        <v>0</v>
      </c>
      <c r="Z99">
        <v>0</v>
      </c>
      <c r="AA99">
        <v>267720</v>
      </c>
    </row>
    <row r="100" spans="1:27">
      <c r="A100">
        <v>55</v>
      </c>
      <c r="B100" t="s">
        <v>45</v>
      </c>
      <c r="C100" t="s">
        <v>46</v>
      </c>
      <c r="D100" t="s">
        <v>123</v>
      </c>
      <c r="E100" t="s">
        <v>68</v>
      </c>
      <c r="F100" t="s">
        <v>16</v>
      </c>
      <c r="G100">
        <v>15</v>
      </c>
      <c r="H100" t="s">
        <v>18</v>
      </c>
      <c r="I100" t="s">
        <v>98</v>
      </c>
      <c r="J100">
        <v>30</v>
      </c>
      <c r="K100" t="s">
        <v>99</v>
      </c>
      <c r="L100" t="s">
        <v>100</v>
      </c>
      <c r="M100" t="s">
        <v>48</v>
      </c>
      <c r="N100" t="s">
        <v>124</v>
      </c>
      <c r="O100" t="s">
        <v>125</v>
      </c>
      <c r="P100" t="s">
        <v>126</v>
      </c>
      <c r="Q100">
        <v>20095</v>
      </c>
      <c r="R100" t="s">
        <v>49</v>
      </c>
      <c r="U100">
        <v>30000</v>
      </c>
      <c r="V100">
        <v>285.60000000000002</v>
      </c>
      <c r="W100">
        <v>332.4384</v>
      </c>
      <c r="X100">
        <v>180</v>
      </c>
      <c r="Y100">
        <v>0</v>
      </c>
      <c r="Z100">
        <v>0</v>
      </c>
      <c r="AA100">
        <v>59838.911999999997</v>
      </c>
    </row>
    <row r="101" spans="1:27">
      <c r="A101">
        <v>56</v>
      </c>
      <c r="B101" t="s">
        <v>45</v>
      </c>
      <c r="C101" t="s">
        <v>46</v>
      </c>
      <c r="D101" t="s">
        <v>123</v>
      </c>
      <c r="E101" t="s">
        <v>68</v>
      </c>
      <c r="F101" t="s">
        <v>23</v>
      </c>
      <c r="G101">
        <v>20</v>
      </c>
      <c r="H101" t="s">
        <v>25</v>
      </c>
      <c r="I101" t="s">
        <v>104</v>
      </c>
      <c r="J101">
        <v>40</v>
      </c>
      <c r="K101" t="s">
        <v>99</v>
      </c>
      <c r="L101" t="s">
        <v>105</v>
      </c>
      <c r="M101" t="s">
        <v>51</v>
      </c>
      <c r="N101" t="s">
        <v>127</v>
      </c>
      <c r="O101" t="s">
        <v>125</v>
      </c>
      <c r="P101" t="s">
        <v>126</v>
      </c>
      <c r="Q101">
        <v>20095</v>
      </c>
      <c r="R101" t="s">
        <v>49</v>
      </c>
      <c r="U101">
        <v>25000</v>
      </c>
      <c r="V101">
        <v>238.00000000000003</v>
      </c>
      <c r="W101">
        <v>277.03200000000004</v>
      </c>
      <c r="X101">
        <v>320</v>
      </c>
      <c r="Y101">
        <v>0</v>
      </c>
      <c r="Z101">
        <v>0</v>
      </c>
      <c r="AA101">
        <v>88650.24000000002</v>
      </c>
    </row>
    <row r="102" spans="1:27">
      <c r="A102">
        <v>57</v>
      </c>
      <c r="B102" t="s">
        <v>45</v>
      </c>
      <c r="C102" t="s">
        <v>46</v>
      </c>
      <c r="D102" t="s">
        <v>123</v>
      </c>
      <c r="E102" t="s">
        <v>68</v>
      </c>
      <c r="F102" t="s">
        <v>29</v>
      </c>
      <c r="G102">
        <v>18</v>
      </c>
      <c r="H102" t="s">
        <v>31</v>
      </c>
      <c r="I102" t="s">
        <v>107</v>
      </c>
      <c r="J102">
        <v>25</v>
      </c>
      <c r="K102" t="s">
        <v>99</v>
      </c>
      <c r="L102" t="s">
        <v>108</v>
      </c>
      <c r="M102" t="s">
        <v>53</v>
      </c>
      <c r="N102" t="s">
        <v>128</v>
      </c>
      <c r="O102" t="s">
        <v>125</v>
      </c>
      <c r="P102" t="s">
        <v>126</v>
      </c>
      <c r="Q102">
        <v>20095</v>
      </c>
      <c r="R102" t="s">
        <v>49</v>
      </c>
      <c r="U102">
        <v>22000</v>
      </c>
      <c r="V102">
        <v>209.44000000000003</v>
      </c>
      <c r="W102">
        <v>243.78816</v>
      </c>
      <c r="X102">
        <v>220</v>
      </c>
      <c r="Y102">
        <v>0</v>
      </c>
      <c r="Z102">
        <v>0</v>
      </c>
      <c r="AA102">
        <v>53633.395199999999</v>
      </c>
    </row>
    <row r="103" spans="1:27">
      <c r="A103">
        <v>58</v>
      </c>
      <c r="B103" t="s">
        <v>55</v>
      </c>
      <c r="C103" t="s">
        <v>56</v>
      </c>
      <c r="D103" t="s">
        <v>129</v>
      </c>
      <c r="E103" t="s">
        <v>68</v>
      </c>
      <c r="F103" t="s">
        <v>16</v>
      </c>
      <c r="G103">
        <v>15</v>
      </c>
      <c r="H103" t="s">
        <v>18</v>
      </c>
      <c r="I103" t="s">
        <v>98</v>
      </c>
      <c r="J103">
        <v>30</v>
      </c>
      <c r="K103" t="s">
        <v>99</v>
      </c>
      <c r="L103" t="s">
        <v>100</v>
      </c>
      <c r="M103" t="s">
        <v>57</v>
      </c>
      <c r="N103" t="s">
        <v>130</v>
      </c>
      <c r="O103" t="s">
        <v>131</v>
      </c>
      <c r="P103" t="s">
        <v>126</v>
      </c>
      <c r="Q103">
        <v>75005</v>
      </c>
      <c r="R103" t="s">
        <v>58</v>
      </c>
      <c r="T103">
        <v>5000</v>
      </c>
      <c r="V103">
        <v>27.31</v>
      </c>
      <c r="W103">
        <v>31.788839999999997</v>
      </c>
      <c r="X103">
        <v>140</v>
      </c>
      <c r="Y103">
        <v>0</v>
      </c>
      <c r="Z103">
        <v>0</v>
      </c>
      <c r="AA103">
        <v>4450.4375999999993</v>
      </c>
    </row>
    <row r="104" spans="1:27">
      <c r="A104">
        <v>59</v>
      </c>
      <c r="B104" t="s">
        <v>55</v>
      </c>
      <c r="C104" t="s">
        <v>56</v>
      </c>
      <c r="D104" t="s">
        <v>129</v>
      </c>
      <c r="E104" t="s">
        <v>68</v>
      </c>
      <c r="F104" t="s">
        <v>23</v>
      </c>
      <c r="G104">
        <v>20</v>
      </c>
      <c r="H104" t="s">
        <v>25</v>
      </c>
      <c r="I104" t="s">
        <v>104</v>
      </c>
      <c r="J104">
        <v>64.37</v>
      </c>
      <c r="K104" t="s">
        <v>115</v>
      </c>
      <c r="L104" t="s">
        <v>120</v>
      </c>
      <c r="M104" t="s">
        <v>61</v>
      </c>
      <c r="N104" t="s">
        <v>132</v>
      </c>
      <c r="O104" t="s">
        <v>131</v>
      </c>
      <c r="P104" t="s">
        <v>126</v>
      </c>
      <c r="Q104">
        <v>75005</v>
      </c>
      <c r="R104" t="s">
        <v>58</v>
      </c>
      <c r="T104">
        <v>3500</v>
      </c>
      <c r="V104">
        <v>19.117000000000001</v>
      </c>
      <c r="W104">
        <v>22.252188</v>
      </c>
      <c r="X104">
        <v>300</v>
      </c>
      <c r="Y104">
        <v>0</v>
      </c>
      <c r="Z104">
        <v>0</v>
      </c>
      <c r="AA104">
        <v>6675.6563999999998</v>
      </c>
    </row>
    <row r="105" spans="1:27">
      <c r="A105">
        <v>60</v>
      </c>
      <c r="B105" t="s">
        <v>55</v>
      </c>
      <c r="C105" t="s">
        <v>56</v>
      </c>
      <c r="D105" t="s">
        <v>129</v>
      </c>
      <c r="E105" t="s">
        <v>68</v>
      </c>
      <c r="F105" t="s">
        <v>29</v>
      </c>
      <c r="G105">
        <v>18</v>
      </c>
      <c r="H105" t="s">
        <v>31</v>
      </c>
      <c r="I105" t="s">
        <v>107</v>
      </c>
      <c r="J105">
        <v>25</v>
      </c>
      <c r="K105" t="s">
        <v>99</v>
      </c>
      <c r="L105" t="s">
        <v>108</v>
      </c>
      <c r="M105" t="s">
        <v>63</v>
      </c>
      <c r="N105" t="s">
        <v>133</v>
      </c>
      <c r="O105" t="s">
        <v>131</v>
      </c>
      <c r="P105" t="s">
        <v>126</v>
      </c>
      <c r="Q105">
        <v>75005</v>
      </c>
      <c r="R105" t="s">
        <v>58</v>
      </c>
      <c r="T105">
        <v>3500</v>
      </c>
      <c r="V105">
        <v>19.117000000000001</v>
      </c>
      <c r="W105">
        <v>22.252188</v>
      </c>
      <c r="X105">
        <v>280</v>
      </c>
      <c r="Y105">
        <v>0</v>
      </c>
      <c r="Z105">
        <v>0</v>
      </c>
      <c r="AA105">
        <v>6230.6126400000003</v>
      </c>
    </row>
    <row r="106" spans="1:27">
      <c r="A106">
        <v>67</v>
      </c>
      <c r="B106" t="s">
        <v>45</v>
      </c>
      <c r="C106" t="s">
        <v>46</v>
      </c>
      <c r="D106" t="s">
        <v>123</v>
      </c>
      <c r="E106" t="s">
        <v>69</v>
      </c>
      <c r="F106" t="s">
        <v>16</v>
      </c>
      <c r="G106">
        <v>15</v>
      </c>
      <c r="H106" t="s">
        <v>18</v>
      </c>
      <c r="I106" t="s">
        <v>98</v>
      </c>
      <c r="J106">
        <v>30</v>
      </c>
      <c r="K106" t="s">
        <v>99</v>
      </c>
      <c r="L106" t="s">
        <v>100</v>
      </c>
      <c r="M106" t="s">
        <v>48</v>
      </c>
      <c r="N106" t="s">
        <v>124</v>
      </c>
      <c r="O106" t="s">
        <v>125</v>
      </c>
      <c r="P106" t="s">
        <v>126</v>
      </c>
      <c r="Q106">
        <v>20095</v>
      </c>
      <c r="R106" t="s">
        <v>49</v>
      </c>
      <c r="S106">
        <v>1050</v>
      </c>
      <c r="V106">
        <v>1050</v>
      </c>
      <c r="W106">
        <v>1222.1999999999998</v>
      </c>
      <c r="X106">
        <v>200</v>
      </c>
      <c r="Y106">
        <v>0</v>
      </c>
      <c r="Z106">
        <v>0</v>
      </c>
      <c r="AA106">
        <v>244439.99999999997</v>
      </c>
    </row>
    <row r="107" spans="1:27">
      <c r="A107">
        <v>68</v>
      </c>
      <c r="B107" t="s">
        <v>45</v>
      </c>
      <c r="C107" t="s">
        <v>46</v>
      </c>
      <c r="D107" t="s">
        <v>123</v>
      </c>
      <c r="E107" t="s">
        <v>69</v>
      </c>
      <c r="F107" t="s">
        <v>23</v>
      </c>
      <c r="G107">
        <v>20</v>
      </c>
      <c r="H107" t="s">
        <v>25</v>
      </c>
      <c r="I107" t="s">
        <v>104</v>
      </c>
      <c r="J107">
        <v>64.37</v>
      </c>
      <c r="K107" t="s">
        <v>115</v>
      </c>
      <c r="L107" t="s">
        <v>120</v>
      </c>
      <c r="M107" t="s">
        <v>51</v>
      </c>
      <c r="N107" t="s">
        <v>127</v>
      </c>
      <c r="O107" t="s">
        <v>125</v>
      </c>
      <c r="P107" t="s">
        <v>126</v>
      </c>
      <c r="Q107">
        <v>20095</v>
      </c>
      <c r="R107" t="s">
        <v>49</v>
      </c>
      <c r="U107">
        <v>30000</v>
      </c>
      <c r="V107">
        <v>285.60000000000002</v>
      </c>
      <c r="W107">
        <v>332.4384</v>
      </c>
      <c r="X107">
        <v>350</v>
      </c>
      <c r="Y107">
        <v>0</v>
      </c>
      <c r="Z107">
        <v>0</v>
      </c>
      <c r="AA107">
        <v>116353.44</v>
      </c>
    </row>
    <row r="108" spans="1:27">
      <c r="A108">
        <v>69</v>
      </c>
      <c r="B108" t="s">
        <v>45</v>
      </c>
      <c r="C108" t="s">
        <v>46</v>
      </c>
      <c r="D108" t="s">
        <v>123</v>
      </c>
      <c r="E108" t="s">
        <v>69</v>
      </c>
      <c r="F108" t="s">
        <v>29</v>
      </c>
      <c r="G108">
        <v>18</v>
      </c>
      <c r="H108" t="s">
        <v>31</v>
      </c>
      <c r="I108" t="s">
        <v>107</v>
      </c>
      <c r="J108">
        <v>40.229999999999997</v>
      </c>
      <c r="K108" t="s">
        <v>115</v>
      </c>
      <c r="L108" t="s">
        <v>116</v>
      </c>
      <c r="M108" t="s">
        <v>53</v>
      </c>
      <c r="N108" t="s">
        <v>128</v>
      </c>
      <c r="O108" t="s">
        <v>125</v>
      </c>
      <c r="P108" t="s">
        <v>126</v>
      </c>
      <c r="Q108">
        <v>20095</v>
      </c>
      <c r="R108" t="s">
        <v>49</v>
      </c>
      <c r="U108">
        <v>25000</v>
      </c>
      <c r="V108">
        <v>238.00000000000003</v>
      </c>
      <c r="W108">
        <v>277.03200000000004</v>
      </c>
      <c r="X108">
        <v>250</v>
      </c>
      <c r="Y108">
        <v>0</v>
      </c>
      <c r="Z108">
        <v>0</v>
      </c>
      <c r="AA108">
        <v>69258.000000000015</v>
      </c>
    </row>
    <row r="109" spans="1:27">
      <c r="A109">
        <v>70</v>
      </c>
      <c r="B109" t="s">
        <v>55</v>
      </c>
      <c r="C109" t="s">
        <v>56</v>
      </c>
      <c r="D109" t="s">
        <v>129</v>
      </c>
      <c r="E109" t="s">
        <v>69</v>
      </c>
      <c r="F109" t="s">
        <v>16</v>
      </c>
      <c r="G109">
        <v>17.515000000000001</v>
      </c>
      <c r="H109" t="s">
        <v>18</v>
      </c>
      <c r="I109" t="s">
        <v>121</v>
      </c>
      <c r="J109">
        <v>30</v>
      </c>
      <c r="K109" t="s">
        <v>99</v>
      </c>
      <c r="L109" t="s">
        <v>100</v>
      </c>
      <c r="M109" t="s">
        <v>57</v>
      </c>
      <c r="N109" t="s">
        <v>130</v>
      </c>
      <c r="O109" t="s">
        <v>131</v>
      </c>
      <c r="P109" t="s">
        <v>126</v>
      </c>
      <c r="Q109">
        <v>75005</v>
      </c>
      <c r="R109" t="s">
        <v>58</v>
      </c>
      <c r="U109">
        <v>22000</v>
      </c>
      <c r="V109">
        <v>209.44000000000003</v>
      </c>
      <c r="W109">
        <v>243.78816</v>
      </c>
      <c r="X109">
        <v>150</v>
      </c>
      <c r="Y109">
        <v>0</v>
      </c>
      <c r="Z109">
        <v>0</v>
      </c>
      <c r="AA109">
        <v>36568.224000000002</v>
      </c>
    </row>
    <row r="110" spans="1:27">
      <c r="A110">
        <v>71</v>
      </c>
      <c r="B110" t="s">
        <v>55</v>
      </c>
      <c r="C110" t="s">
        <v>56</v>
      </c>
      <c r="D110" t="s">
        <v>129</v>
      </c>
      <c r="E110" t="s">
        <v>69</v>
      </c>
      <c r="F110" t="s">
        <v>23</v>
      </c>
      <c r="G110">
        <v>20</v>
      </c>
      <c r="H110" t="s">
        <v>25</v>
      </c>
      <c r="I110" t="s">
        <v>104</v>
      </c>
      <c r="J110">
        <v>40</v>
      </c>
      <c r="K110" t="s">
        <v>99</v>
      </c>
      <c r="L110" t="s">
        <v>105</v>
      </c>
      <c r="M110" t="s">
        <v>61</v>
      </c>
      <c r="N110" t="s">
        <v>132</v>
      </c>
      <c r="O110" t="s">
        <v>131</v>
      </c>
      <c r="P110" t="s">
        <v>126</v>
      </c>
      <c r="Q110">
        <v>75005</v>
      </c>
      <c r="R110" t="s">
        <v>58</v>
      </c>
      <c r="T110">
        <v>5000</v>
      </c>
      <c r="V110">
        <v>27.31</v>
      </c>
      <c r="W110">
        <v>31.788839999999997</v>
      </c>
      <c r="X110">
        <v>350</v>
      </c>
      <c r="Y110">
        <v>0</v>
      </c>
      <c r="Z110">
        <v>0</v>
      </c>
      <c r="AA110">
        <v>11126.093999999999</v>
      </c>
    </row>
    <row r="111" spans="1:27">
      <c r="A111">
        <v>72</v>
      </c>
      <c r="B111" t="s">
        <v>55</v>
      </c>
      <c r="C111" t="s">
        <v>56</v>
      </c>
      <c r="D111" t="s">
        <v>129</v>
      </c>
      <c r="E111" t="s">
        <v>69</v>
      </c>
      <c r="F111" t="s">
        <v>29</v>
      </c>
      <c r="G111">
        <v>18</v>
      </c>
      <c r="H111" t="s">
        <v>31</v>
      </c>
      <c r="I111" t="s">
        <v>107</v>
      </c>
      <c r="J111">
        <v>25</v>
      </c>
      <c r="K111" t="s">
        <v>99</v>
      </c>
      <c r="L111" t="s">
        <v>108</v>
      </c>
      <c r="M111" t="s">
        <v>63</v>
      </c>
      <c r="N111" t="s">
        <v>133</v>
      </c>
      <c r="O111" t="s">
        <v>131</v>
      </c>
      <c r="P111" t="s">
        <v>126</v>
      </c>
      <c r="Q111">
        <v>75005</v>
      </c>
      <c r="R111" t="s">
        <v>58</v>
      </c>
      <c r="T111">
        <v>3500</v>
      </c>
      <c r="V111">
        <v>19.117000000000001</v>
      </c>
      <c r="W111">
        <v>22.252188</v>
      </c>
      <c r="X111">
        <v>300</v>
      </c>
      <c r="Y111">
        <v>0</v>
      </c>
      <c r="Z111">
        <v>0</v>
      </c>
      <c r="AA111">
        <v>6675.6563999999998</v>
      </c>
    </row>
    <row r="112" spans="1:27">
      <c r="A112">
        <v>79</v>
      </c>
      <c r="B112" t="s">
        <v>45</v>
      </c>
      <c r="C112" t="s">
        <v>46</v>
      </c>
      <c r="D112" t="s">
        <v>123</v>
      </c>
      <c r="E112" t="s">
        <v>70</v>
      </c>
      <c r="F112" t="s">
        <v>16</v>
      </c>
      <c r="G112">
        <v>15</v>
      </c>
      <c r="H112" t="s">
        <v>18</v>
      </c>
      <c r="I112" t="s">
        <v>98</v>
      </c>
      <c r="J112">
        <v>30</v>
      </c>
      <c r="K112" t="s">
        <v>99</v>
      </c>
      <c r="L112" t="s">
        <v>100</v>
      </c>
      <c r="M112" t="s">
        <v>48</v>
      </c>
      <c r="N112" t="s">
        <v>124</v>
      </c>
      <c r="O112" t="s">
        <v>125</v>
      </c>
      <c r="P112" t="s">
        <v>126</v>
      </c>
      <c r="Q112">
        <v>20095</v>
      </c>
      <c r="R112" t="s">
        <v>49</v>
      </c>
      <c r="S112">
        <v>900</v>
      </c>
      <c r="V112">
        <v>900</v>
      </c>
      <c r="W112">
        <v>1047.5999999999999</v>
      </c>
      <c r="X112">
        <v>200</v>
      </c>
      <c r="Y112">
        <v>0</v>
      </c>
      <c r="Z112">
        <v>0</v>
      </c>
      <c r="AA112">
        <v>209519.99999999997</v>
      </c>
    </row>
    <row r="113" spans="1:27">
      <c r="A113">
        <v>80</v>
      </c>
      <c r="B113" t="s">
        <v>45</v>
      </c>
      <c r="C113" t="s">
        <v>46</v>
      </c>
      <c r="D113" t="s">
        <v>123</v>
      </c>
      <c r="E113" t="s">
        <v>70</v>
      </c>
      <c r="F113" t="s">
        <v>23</v>
      </c>
      <c r="G113">
        <v>20</v>
      </c>
      <c r="H113" t="s">
        <v>25</v>
      </c>
      <c r="I113" t="s">
        <v>104</v>
      </c>
      <c r="J113">
        <v>40</v>
      </c>
      <c r="K113" t="s">
        <v>99</v>
      </c>
      <c r="L113" t="s">
        <v>105</v>
      </c>
      <c r="M113" t="s">
        <v>51</v>
      </c>
      <c r="N113" t="s">
        <v>127</v>
      </c>
      <c r="O113" t="s">
        <v>125</v>
      </c>
      <c r="P113" t="s">
        <v>126</v>
      </c>
      <c r="Q113">
        <v>20095</v>
      </c>
      <c r="R113" t="s">
        <v>49</v>
      </c>
      <c r="S113">
        <v>1050</v>
      </c>
      <c r="V113">
        <v>1050</v>
      </c>
      <c r="W113">
        <v>1222.1999999999998</v>
      </c>
      <c r="X113">
        <v>350</v>
      </c>
      <c r="Y113">
        <v>0</v>
      </c>
      <c r="Z113">
        <v>0</v>
      </c>
      <c r="AA113">
        <v>427769.99999999994</v>
      </c>
    </row>
    <row r="114" spans="1:27">
      <c r="A114">
        <v>81</v>
      </c>
      <c r="B114" t="s">
        <v>45</v>
      </c>
      <c r="C114" t="s">
        <v>46</v>
      </c>
      <c r="D114" t="s">
        <v>123</v>
      </c>
      <c r="E114" t="s">
        <v>70</v>
      </c>
      <c r="F114" t="s">
        <v>29</v>
      </c>
      <c r="G114">
        <v>18</v>
      </c>
      <c r="H114" t="s">
        <v>31</v>
      </c>
      <c r="I114" t="s">
        <v>107</v>
      </c>
      <c r="J114">
        <v>25</v>
      </c>
      <c r="K114" t="s">
        <v>99</v>
      </c>
      <c r="L114" t="s">
        <v>108</v>
      </c>
      <c r="M114" t="s">
        <v>53</v>
      </c>
      <c r="N114" t="s">
        <v>128</v>
      </c>
      <c r="O114" t="s">
        <v>125</v>
      </c>
      <c r="P114" t="s">
        <v>126</v>
      </c>
      <c r="Q114">
        <v>20095</v>
      </c>
      <c r="R114" t="s">
        <v>49</v>
      </c>
      <c r="S114">
        <v>1050</v>
      </c>
      <c r="V114">
        <v>1050</v>
      </c>
      <c r="W114">
        <v>1222.1999999999998</v>
      </c>
      <c r="X114">
        <v>250</v>
      </c>
      <c r="Y114">
        <v>0</v>
      </c>
      <c r="Z114">
        <v>0</v>
      </c>
      <c r="AA114">
        <v>305549.99999999994</v>
      </c>
    </row>
    <row r="115" spans="1:27">
      <c r="A115">
        <v>82</v>
      </c>
      <c r="B115" t="s">
        <v>55</v>
      </c>
      <c r="C115" t="s">
        <v>56</v>
      </c>
      <c r="D115" t="s">
        <v>129</v>
      </c>
      <c r="E115" t="s">
        <v>70</v>
      </c>
      <c r="F115" t="s">
        <v>16</v>
      </c>
      <c r="G115">
        <v>15</v>
      </c>
      <c r="H115" t="s">
        <v>18</v>
      </c>
      <c r="I115" t="s">
        <v>98</v>
      </c>
      <c r="J115">
        <v>30</v>
      </c>
      <c r="K115" t="s">
        <v>99</v>
      </c>
      <c r="L115" t="s">
        <v>100</v>
      </c>
      <c r="M115" t="s">
        <v>57</v>
      </c>
      <c r="N115" t="s">
        <v>130</v>
      </c>
      <c r="O115" t="s">
        <v>131</v>
      </c>
      <c r="P115" t="s">
        <v>126</v>
      </c>
      <c r="Q115">
        <v>75005</v>
      </c>
      <c r="R115" t="s">
        <v>58</v>
      </c>
      <c r="U115">
        <v>30000</v>
      </c>
      <c r="V115">
        <v>285.60000000000002</v>
      </c>
      <c r="W115">
        <v>332.4384</v>
      </c>
      <c r="X115">
        <v>160</v>
      </c>
      <c r="Y115">
        <v>0</v>
      </c>
      <c r="Z115">
        <v>0</v>
      </c>
      <c r="AA115">
        <v>53190.144</v>
      </c>
    </row>
    <row r="116" spans="1:27">
      <c r="A116">
        <v>83</v>
      </c>
      <c r="B116" t="s">
        <v>55</v>
      </c>
      <c r="C116" t="s">
        <v>56</v>
      </c>
      <c r="D116" t="s">
        <v>129</v>
      </c>
      <c r="E116" t="s">
        <v>70</v>
      </c>
      <c r="F116" t="s">
        <v>23</v>
      </c>
      <c r="G116">
        <v>20</v>
      </c>
      <c r="H116" t="s">
        <v>25</v>
      </c>
      <c r="I116" t="s">
        <v>104</v>
      </c>
      <c r="J116">
        <v>40</v>
      </c>
      <c r="K116" t="s">
        <v>99</v>
      </c>
      <c r="L116" t="s">
        <v>105</v>
      </c>
      <c r="M116" t="s">
        <v>61</v>
      </c>
      <c r="N116" t="s">
        <v>132</v>
      </c>
      <c r="O116" t="s">
        <v>131</v>
      </c>
      <c r="P116" t="s">
        <v>126</v>
      </c>
      <c r="Q116">
        <v>75005</v>
      </c>
      <c r="R116" t="s">
        <v>58</v>
      </c>
      <c r="U116">
        <v>25000</v>
      </c>
      <c r="V116">
        <v>238.00000000000003</v>
      </c>
      <c r="W116">
        <v>277.03200000000004</v>
      </c>
      <c r="X116">
        <v>320</v>
      </c>
      <c r="Y116">
        <v>0</v>
      </c>
      <c r="Z116">
        <v>0</v>
      </c>
      <c r="AA116">
        <v>88650.24000000002</v>
      </c>
    </row>
    <row r="117" spans="1:27">
      <c r="A117">
        <v>84</v>
      </c>
      <c r="B117" t="s">
        <v>55</v>
      </c>
      <c r="C117" t="s">
        <v>56</v>
      </c>
      <c r="D117" t="s">
        <v>129</v>
      </c>
      <c r="E117" t="s">
        <v>70</v>
      </c>
      <c r="F117" t="s">
        <v>29</v>
      </c>
      <c r="G117">
        <v>18</v>
      </c>
      <c r="H117" t="s">
        <v>31</v>
      </c>
      <c r="I117" t="s">
        <v>107</v>
      </c>
      <c r="J117">
        <v>25</v>
      </c>
      <c r="K117" t="s">
        <v>99</v>
      </c>
      <c r="L117" t="s">
        <v>108</v>
      </c>
      <c r="M117" t="s">
        <v>63</v>
      </c>
      <c r="N117" t="s">
        <v>133</v>
      </c>
      <c r="O117" t="s">
        <v>131</v>
      </c>
      <c r="P117" t="s">
        <v>126</v>
      </c>
      <c r="Q117">
        <v>75005</v>
      </c>
      <c r="R117" t="s">
        <v>58</v>
      </c>
      <c r="U117">
        <v>22000</v>
      </c>
      <c r="V117">
        <v>209.44000000000003</v>
      </c>
      <c r="W117">
        <v>243.78816</v>
      </c>
      <c r="X117">
        <v>300</v>
      </c>
      <c r="Y117">
        <v>0</v>
      </c>
      <c r="Z117">
        <v>0</v>
      </c>
      <c r="AA117">
        <v>73136.448000000004</v>
      </c>
    </row>
    <row r="118" spans="1:27">
      <c r="A118">
        <v>91</v>
      </c>
      <c r="B118" t="s">
        <v>45</v>
      </c>
      <c r="C118" t="s">
        <v>46</v>
      </c>
      <c r="D118" t="s">
        <v>123</v>
      </c>
      <c r="E118" t="s">
        <v>71</v>
      </c>
      <c r="F118" t="s">
        <v>16</v>
      </c>
      <c r="G118">
        <v>15</v>
      </c>
      <c r="H118" t="s">
        <v>18</v>
      </c>
      <c r="I118" t="s">
        <v>98</v>
      </c>
      <c r="J118">
        <v>30</v>
      </c>
      <c r="K118" t="s">
        <v>99</v>
      </c>
      <c r="L118" t="s">
        <v>100</v>
      </c>
      <c r="M118" t="s">
        <v>48</v>
      </c>
      <c r="N118" t="s">
        <v>124</v>
      </c>
      <c r="O118" t="s">
        <v>125</v>
      </c>
      <c r="P118" t="s">
        <v>126</v>
      </c>
      <c r="Q118">
        <v>20095</v>
      </c>
      <c r="R118" t="s">
        <v>49</v>
      </c>
      <c r="S118">
        <v>1100</v>
      </c>
      <c r="V118">
        <v>1100</v>
      </c>
      <c r="W118">
        <v>1280.3999999999999</v>
      </c>
      <c r="X118">
        <v>180</v>
      </c>
      <c r="Y118">
        <v>0</v>
      </c>
      <c r="Z118">
        <v>0</v>
      </c>
      <c r="AA118">
        <v>230471.99999999997</v>
      </c>
    </row>
    <row r="119" spans="1:27">
      <c r="A119">
        <v>92</v>
      </c>
      <c r="B119" t="s">
        <v>45</v>
      </c>
      <c r="C119" t="s">
        <v>46</v>
      </c>
      <c r="D119" t="s">
        <v>123</v>
      </c>
      <c r="E119" t="s">
        <v>71</v>
      </c>
      <c r="F119" t="s">
        <v>23</v>
      </c>
      <c r="G119">
        <v>20</v>
      </c>
      <c r="H119" t="s">
        <v>25</v>
      </c>
      <c r="I119" t="s">
        <v>104</v>
      </c>
      <c r="J119">
        <v>64.37</v>
      </c>
      <c r="K119" t="s">
        <v>115</v>
      </c>
      <c r="L119" t="s">
        <v>120</v>
      </c>
      <c r="M119" t="s">
        <v>51</v>
      </c>
      <c r="N119" t="s">
        <v>127</v>
      </c>
      <c r="O119" t="s">
        <v>125</v>
      </c>
      <c r="P119" t="s">
        <v>126</v>
      </c>
      <c r="Q119">
        <v>20095</v>
      </c>
      <c r="R119" t="s">
        <v>49</v>
      </c>
      <c r="S119">
        <v>900</v>
      </c>
      <c r="V119">
        <v>900</v>
      </c>
      <c r="W119">
        <v>1047.5999999999999</v>
      </c>
      <c r="X119">
        <v>300</v>
      </c>
      <c r="Y119">
        <v>0</v>
      </c>
      <c r="Z119">
        <v>0</v>
      </c>
      <c r="AA119">
        <v>314280</v>
      </c>
    </row>
    <row r="120" spans="1:27">
      <c r="A120">
        <v>93</v>
      </c>
      <c r="B120" t="s">
        <v>45</v>
      </c>
      <c r="C120" t="s">
        <v>46</v>
      </c>
      <c r="D120" t="s">
        <v>123</v>
      </c>
      <c r="E120" t="s">
        <v>71</v>
      </c>
      <c r="F120" t="s">
        <v>29</v>
      </c>
      <c r="G120">
        <v>18</v>
      </c>
      <c r="H120" t="s">
        <v>31</v>
      </c>
      <c r="I120" t="s">
        <v>107</v>
      </c>
      <c r="J120">
        <v>25</v>
      </c>
      <c r="K120" t="s">
        <v>99</v>
      </c>
      <c r="L120" t="s">
        <v>108</v>
      </c>
      <c r="M120" t="s">
        <v>53</v>
      </c>
      <c r="N120" t="s">
        <v>128</v>
      </c>
      <c r="O120" t="s">
        <v>125</v>
      </c>
      <c r="P120" t="s">
        <v>126</v>
      </c>
      <c r="Q120">
        <v>20095</v>
      </c>
      <c r="R120" t="s">
        <v>49</v>
      </c>
      <c r="S120">
        <v>1050</v>
      </c>
      <c r="V120">
        <v>1050</v>
      </c>
      <c r="W120">
        <v>1222.1999999999998</v>
      </c>
      <c r="X120">
        <v>230</v>
      </c>
      <c r="Y120">
        <v>0</v>
      </c>
      <c r="Z120">
        <v>0</v>
      </c>
      <c r="AA120">
        <v>281105.99999999994</v>
      </c>
    </row>
    <row r="121" spans="1:27">
      <c r="A121">
        <v>94</v>
      </c>
      <c r="B121" t="s">
        <v>55</v>
      </c>
      <c r="C121" t="s">
        <v>56</v>
      </c>
      <c r="D121" t="s">
        <v>129</v>
      </c>
      <c r="E121" t="s">
        <v>71</v>
      </c>
      <c r="F121" t="s">
        <v>16</v>
      </c>
      <c r="G121">
        <v>15</v>
      </c>
      <c r="H121" t="s">
        <v>18</v>
      </c>
      <c r="I121" t="s">
        <v>98</v>
      </c>
      <c r="J121">
        <v>30</v>
      </c>
      <c r="K121" t="s">
        <v>99</v>
      </c>
      <c r="L121" t="s">
        <v>100</v>
      </c>
      <c r="M121" t="s">
        <v>57</v>
      </c>
      <c r="N121" t="s">
        <v>130</v>
      </c>
      <c r="O121" t="s">
        <v>131</v>
      </c>
      <c r="P121" t="s">
        <v>126</v>
      </c>
      <c r="Q121">
        <v>75005</v>
      </c>
      <c r="R121" t="s">
        <v>58</v>
      </c>
      <c r="U121">
        <v>30000</v>
      </c>
      <c r="V121">
        <v>285.60000000000002</v>
      </c>
      <c r="W121">
        <v>332.4384</v>
      </c>
      <c r="X121">
        <v>150</v>
      </c>
      <c r="Y121">
        <v>0</v>
      </c>
      <c r="Z121">
        <v>0</v>
      </c>
      <c r="AA121">
        <v>49865.760000000002</v>
      </c>
    </row>
    <row r="122" spans="1:27">
      <c r="A122">
        <v>95</v>
      </c>
      <c r="B122" t="s">
        <v>55</v>
      </c>
      <c r="C122" t="s">
        <v>56</v>
      </c>
      <c r="D122" t="s">
        <v>129</v>
      </c>
      <c r="E122" t="s">
        <v>71</v>
      </c>
      <c r="F122" t="s">
        <v>23</v>
      </c>
      <c r="G122">
        <v>20</v>
      </c>
      <c r="H122" t="s">
        <v>25</v>
      </c>
      <c r="I122" t="s">
        <v>104</v>
      </c>
      <c r="J122">
        <v>40</v>
      </c>
      <c r="K122" t="s">
        <v>99</v>
      </c>
      <c r="L122" t="s">
        <v>105</v>
      </c>
      <c r="M122" t="s">
        <v>61</v>
      </c>
      <c r="N122" t="s">
        <v>132</v>
      </c>
      <c r="O122" t="s">
        <v>131</v>
      </c>
      <c r="P122" t="s">
        <v>126</v>
      </c>
      <c r="Q122">
        <v>75005</v>
      </c>
      <c r="R122" t="s">
        <v>58</v>
      </c>
      <c r="U122">
        <v>30000</v>
      </c>
      <c r="V122">
        <v>285.60000000000002</v>
      </c>
      <c r="W122">
        <v>332.4384</v>
      </c>
      <c r="X122">
        <v>280</v>
      </c>
      <c r="Y122">
        <v>0</v>
      </c>
      <c r="Z122">
        <v>0</v>
      </c>
      <c r="AA122">
        <v>93082.752000000008</v>
      </c>
    </row>
    <row r="123" spans="1:27">
      <c r="A123">
        <v>96</v>
      </c>
      <c r="B123" t="s">
        <v>55</v>
      </c>
      <c r="C123" t="s">
        <v>56</v>
      </c>
      <c r="D123" t="s">
        <v>129</v>
      </c>
      <c r="E123" t="s">
        <v>71</v>
      </c>
      <c r="F123" t="s">
        <v>29</v>
      </c>
      <c r="G123">
        <v>18</v>
      </c>
      <c r="H123" t="s">
        <v>31</v>
      </c>
      <c r="I123" t="s">
        <v>107</v>
      </c>
      <c r="J123">
        <v>25</v>
      </c>
      <c r="K123" t="s">
        <v>99</v>
      </c>
      <c r="L123" t="s">
        <v>108</v>
      </c>
      <c r="M123" t="s">
        <v>63</v>
      </c>
      <c r="N123" t="s">
        <v>133</v>
      </c>
      <c r="O123" t="s">
        <v>131</v>
      </c>
      <c r="P123" t="s">
        <v>126</v>
      </c>
      <c r="Q123">
        <v>75005</v>
      </c>
      <c r="R123" t="s">
        <v>58</v>
      </c>
      <c r="U123">
        <v>25000</v>
      </c>
      <c r="V123">
        <v>238.00000000000003</v>
      </c>
      <c r="W123">
        <v>277.03200000000004</v>
      </c>
      <c r="X123">
        <v>290</v>
      </c>
      <c r="Y123">
        <v>0</v>
      </c>
      <c r="Z123">
        <v>0</v>
      </c>
      <c r="AA123">
        <v>80339.280000000013</v>
      </c>
    </row>
    <row r="124" spans="1:27">
      <c r="A124">
        <v>103</v>
      </c>
      <c r="B124" t="s">
        <v>45</v>
      </c>
      <c r="C124" t="s">
        <v>46</v>
      </c>
      <c r="D124" t="s">
        <v>123</v>
      </c>
      <c r="E124" t="s">
        <v>72</v>
      </c>
      <c r="F124" t="s">
        <v>16</v>
      </c>
      <c r="G124">
        <v>15</v>
      </c>
      <c r="H124" t="s">
        <v>18</v>
      </c>
      <c r="I124" t="s">
        <v>98</v>
      </c>
      <c r="J124">
        <v>48.28</v>
      </c>
      <c r="K124" t="s">
        <v>115</v>
      </c>
      <c r="L124" t="s">
        <v>119</v>
      </c>
      <c r="M124" t="s">
        <v>48</v>
      </c>
      <c r="N124" t="s">
        <v>124</v>
      </c>
      <c r="O124" t="s">
        <v>125</v>
      </c>
      <c r="P124" t="s">
        <v>126</v>
      </c>
      <c r="Q124">
        <v>20095</v>
      </c>
      <c r="R124" t="s">
        <v>49</v>
      </c>
      <c r="S124">
        <v>950</v>
      </c>
      <c r="V124">
        <v>950</v>
      </c>
      <c r="W124">
        <v>1105.8</v>
      </c>
      <c r="X124">
        <v>160</v>
      </c>
      <c r="Y124">
        <v>0</v>
      </c>
      <c r="Z124">
        <v>0</v>
      </c>
      <c r="AA124">
        <v>176928</v>
      </c>
    </row>
    <row r="125" spans="1:27">
      <c r="A125">
        <v>104</v>
      </c>
      <c r="B125" t="s">
        <v>45</v>
      </c>
      <c r="C125" t="s">
        <v>46</v>
      </c>
      <c r="D125" t="s">
        <v>123</v>
      </c>
      <c r="E125" t="s">
        <v>72</v>
      </c>
      <c r="F125" t="s">
        <v>23</v>
      </c>
      <c r="G125">
        <v>20</v>
      </c>
      <c r="H125" t="s">
        <v>25</v>
      </c>
      <c r="I125" t="s">
        <v>104</v>
      </c>
      <c r="J125">
        <v>40</v>
      </c>
      <c r="K125" t="s">
        <v>99</v>
      </c>
      <c r="L125" t="s">
        <v>105</v>
      </c>
      <c r="M125" t="s">
        <v>51</v>
      </c>
      <c r="N125" t="s">
        <v>127</v>
      </c>
      <c r="O125" t="s">
        <v>125</v>
      </c>
      <c r="P125" t="s">
        <v>126</v>
      </c>
      <c r="Q125">
        <v>20095</v>
      </c>
      <c r="R125" t="s">
        <v>49</v>
      </c>
      <c r="S125">
        <v>950</v>
      </c>
      <c r="V125">
        <v>950</v>
      </c>
      <c r="W125">
        <v>1105.8</v>
      </c>
      <c r="X125">
        <v>320</v>
      </c>
      <c r="Y125">
        <v>0</v>
      </c>
      <c r="Z125">
        <v>0</v>
      </c>
      <c r="AA125">
        <v>353856</v>
      </c>
    </row>
    <row r="126" spans="1:27">
      <c r="A126">
        <v>105</v>
      </c>
      <c r="B126" t="s">
        <v>45</v>
      </c>
      <c r="C126" t="s">
        <v>46</v>
      </c>
      <c r="D126" t="s">
        <v>123</v>
      </c>
      <c r="E126" t="s">
        <v>72</v>
      </c>
      <c r="F126" t="s">
        <v>29</v>
      </c>
      <c r="G126">
        <v>18</v>
      </c>
      <c r="H126" t="s">
        <v>31</v>
      </c>
      <c r="I126" t="s">
        <v>107</v>
      </c>
      <c r="J126">
        <v>25</v>
      </c>
      <c r="K126" t="s">
        <v>99</v>
      </c>
      <c r="L126" t="s">
        <v>108</v>
      </c>
      <c r="M126" t="s">
        <v>53</v>
      </c>
      <c r="N126" t="s">
        <v>128</v>
      </c>
      <c r="O126" t="s">
        <v>125</v>
      </c>
      <c r="P126" t="s">
        <v>126</v>
      </c>
      <c r="Q126">
        <v>20095</v>
      </c>
      <c r="R126" t="s">
        <v>49</v>
      </c>
      <c r="S126">
        <v>1100</v>
      </c>
      <c r="V126">
        <v>1100</v>
      </c>
      <c r="W126">
        <v>1280.3999999999999</v>
      </c>
      <c r="X126">
        <v>250</v>
      </c>
      <c r="Y126">
        <v>0</v>
      </c>
      <c r="Z126">
        <v>0</v>
      </c>
      <c r="AA126">
        <v>320099.99999999994</v>
      </c>
    </row>
    <row r="127" spans="1:27">
      <c r="A127">
        <v>106</v>
      </c>
      <c r="B127" t="s">
        <v>55</v>
      </c>
      <c r="C127" t="s">
        <v>56</v>
      </c>
      <c r="D127" t="s">
        <v>129</v>
      </c>
      <c r="E127" t="s">
        <v>72</v>
      </c>
      <c r="F127" t="s">
        <v>16</v>
      </c>
      <c r="G127">
        <v>15</v>
      </c>
      <c r="H127" t="s">
        <v>18</v>
      </c>
      <c r="I127" t="s">
        <v>98</v>
      </c>
      <c r="J127">
        <v>30</v>
      </c>
      <c r="K127" t="s">
        <v>99</v>
      </c>
      <c r="L127" t="s">
        <v>100</v>
      </c>
      <c r="M127" t="s">
        <v>57</v>
      </c>
      <c r="N127" t="s">
        <v>130</v>
      </c>
      <c r="O127" t="s">
        <v>131</v>
      </c>
      <c r="P127" t="s">
        <v>126</v>
      </c>
      <c r="Q127">
        <v>75005</v>
      </c>
      <c r="R127" t="s">
        <v>58</v>
      </c>
      <c r="S127">
        <v>900</v>
      </c>
      <c r="V127">
        <v>900</v>
      </c>
      <c r="W127">
        <v>1047.5999999999999</v>
      </c>
      <c r="X127">
        <v>140</v>
      </c>
      <c r="Y127">
        <v>0</v>
      </c>
      <c r="Z127">
        <v>0</v>
      </c>
      <c r="AA127">
        <v>146664</v>
      </c>
    </row>
    <row r="128" spans="1:27">
      <c r="A128">
        <v>107</v>
      </c>
      <c r="B128" t="s">
        <v>55</v>
      </c>
      <c r="C128" t="s">
        <v>56</v>
      </c>
      <c r="D128" t="s">
        <v>129</v>
      </c>
      <c r="E128" t="s">
        <v>72</v>
      </c>
      <c r="F128" t="s">
        <v>23</v>
      </c>
      <c r="G128">
        <v>20</v>
      </c>
      <c r="H128" t="s">
        <v>25</v>
      </c>
      <c r="I128" t="s">
        <v>104</v>
      </c>
      <c r="J128">
        <v>40</v>
      </c>
      <c r="K128" t="s">
        <v>99</v>
      </c>
      <c r="L128" t="s">
        <v>105</v>
      </c>
      <c r="M128" t="s">
        <v>61</v>
      </c>
      <c r="N128" t="s">
        <v>132</v>
      </c>
      <c r="O128" t="s">
        <v>131</v>
      </c>
      <c r="P128" t="s">
        <v>126</v>
      </c>
      <c r="Q128">
        <v>75005</v>
      </c>
      <c r="R128" t="s">
        <v>58</v>
      </c>
      <c r="S128">
        <v>1050</v>
      </c>
      <c r="V128">
        <v>1050</v>
      </c>
      <c r="W128">
        <v>1222.1999999999998</v>
      </c>
      <c r="X128">
        <v>310</v>
      </c>
      <c r="Y128">
        <v>0</v>
      </c>
      <c r="Z128">
        <v>0</v>
      </c>
      <c r="AA128">
        <v>378881.99999999994</v>
      </c>
    </row>
    <row r="129" spans="1:27">
      <c r="A129">
        <v>108</v>
      </c>
      <c r="B129" t="s">
        <v>55</v>
      </c>
      <c r="C129" t="s">
        <v>56</v>
      </c>
      <c r="D129" t="s">
        <v>129</v>
      </c>
      <c r="E129" t="s">
        <v>72</v>
      </c>
      <c r="F129" t="s">
        <v>29</v>
      </c>
      <c r="G129">
        <v>18</v>
      </c>
      <c r="H129" t="s">
        <v>31</v>
      </c>
      <c r="I129" t="s">
        <v>107</v>
      </c>
      <c r="J129">
        <v>25</v>
      </c>
      <c r="K129" t="s">
        <v>99</v>
      </c>
      <c r="L129" t="s">
        <v>108</v>
      </c>
      <c r="M129" t="s">
        <v>63</v>
      </c>
      <c r="N129" t="s">
        <v>133</v>
      </c>
      <c r="O129" t="s">
        <v>131</v>
      </c>
      <c r="P129" t="s">
        <v>126</v>
      </c>
      <c r="Q129">
        <v>75005</v>
      </c>
      <c r="R129" t="s">
        <v>58</v>
      </c>
      <c r="U129">
        <v>30000</v>
      </c>
      <c r="V129">
        <v>285.60000000000002</v>
      </c>
      <c r="W129">
        <v>332.4384</v>
      </c>
      <c r="X129">
        <v>280</v>
      </c>
      <c r="Y129">
        <v>0</v>
      </c>
      <c r="Z129">
        <v>0</v>
      </c>
      <c r="AA129">
        <v>93082.752000000008</v>
      </c>
    </row>
    <row r="130" spans="1:27">
      <c r="A130">
        <v>115</v>
      </c>
      <c r="B130" t="s">
        <v>45</v>
      </c>
      <c r="C130" t="s">
        <v>46</v>
      </c>
      <c r="D130" t="s">
        <v>123</v>
      </c>
      <c r="E130" t="s">
        <v>73</v>
      </c>
      <c r="F130" t="s">
        <v>16</v>
      </c>
      <c r="G130">
        <v>15</v>
      </c>
      <c r="H130" t="s">
        <v>18</v>
      </c>
      <c r="I130" t="s">
        <v>98</v>
      </c>
      <c r="J130">
        <v>30</v>
      </c>
      <c r="K130" t="s">
        <v>99</v>
      </c>
      <c r="L130" t="s">
        <v>100</v>
      </c>
      <c r="M130" t="s">
        <v>48</v>
      </c>
      <c r="N130" t="s">
        <v>124</v>
      </c>
      <c r="O130" t="s">
        <v>125</v>
      </c>
      <c r="P130" t="s">
        <v>126</v>
      </c>
      <c r="Q130">
        <v>20095</v>
      </c>
      <c r="R130" t="s">
        <v>49</v>
      </c>
      <c r="S130">
        <v>800</v>
      </c>
      <c r="V130">
        <v>800</v>
      </c>
      <c r="W130">
        <v>931.19999999999993</v>
      </c>
      <c r="X130">
        <v>140</v>
      </c>
      <c r="Y130">
        <v>0</v>
      </c>
      <c r="Z130">
        <v>0</v>
      </c>
      <c r="AA130">
        <v>130367.99999999999</v>
      </c>
    </row>
    <row r="131" spans="1:27">
      <c r="A131">
        <v>116</v>
      </c>
      <c r="B131" t="s">
        <v>45</v>
      </c>
      <c r="C131" t="s">
        <v>46</v>
      </c>
      <c r="D131" t="s">
        <v>123</v>
      </c>
      <c r="E131" t="s">
        <v>73</v>
      </c>
      <c r="F131" t="s">
        <v>23</v>
      </c>
      <c r="G131">
        <v>17.515000000000001</v>
      </c>
      <c r="H131" t="s">
        <v>25</v>
      </c>
      <c r="I131" t="s">
        <v>118</v>
      </c>
      <c r="J131">
        <v>40</v>
      </c>
      <c r="K131" t="s">
        <v>99</v>
      </c>
      <c r="L131" t="s">
        <v>105</v>
      </c>
      <c r="M131" t="s">
        <v>51</v>
      </c>
      <c r="N131" t="s">
        <v>127</v>
      </c>
      <c r="O131" t="s">
        <v>125</v>
      </c>
      <c r="P131" t="s">
        <v>126</v>
      </c>
      <c r="Q131">
        <v>20095</v>
      </c>
      <c r="R131" t="s">
        <v>49</v>
      </c>
      <c r="S131">
        <v>950</v>
      </c>
      <c r="V131">
        <v>950</v>
      </c>
      <c r="W131">
        <v>1105.8</v>
      </c>
      <c r="X131">
        <v>300</v>
      </c>
      <c r="Y131">
        <v>0</v>
      </c>
      <c r="Z131">
        <v>0</v>
      </c>
      <c r="AA131">
        <v>331740</v>
      </c>
    </row>
    <row r="132" spans="1:27">
      <c r="A132">
        <v>117</v>
      </c>
      <c r="B132" t="s">
        <v>45</v>
      </c>
      <c r="C132" t="s">
        <v>46</v>
      </c>
      <c r="D132" t="s">
        <v>123</v>
      </c>
      <c r="E132" t="s">
        <v>73</v>
      </c>
      <c r="F132" t="s">
        <v>29</v>
      </c>
      <c r="G132">
        <v>18</v>
      </c>
      <c r="H132" t="s">
        <v>31</v>
      </c>
      <c r="I132" t="s">
        <v>107</v>
      </c>
      <c r="J132">
        <v>25</v>
      </c>
      <c r="K132" t="s">
        <v>99</v>
      </c>
      <c r="L132" t="s">
        <v>108</v>
      </c>
      <c r="M132" t="s">
        <v>53</v>
      </c>
      <c r="N132" t="s">
        <v>128</v>
      </c>
      <c r="O132" t="s">
        <v>125</v>
      </c>
      <c r="P132" t="s">
        <v>126</v>
      </c>
      <c r="Q132">
        <v>20095</v>
      </c>
      <c r="R132" t="s">
        <v>49</v>
      </c>
      <c r="S132">
        <v>950</v>
      </c>
      <c r="V132">
        <v>950</v>
      </c>
      <c r="W132">
        <v>1105.8</v>
      </c>
      <c r="X132">
        <v>220</v>
      </c>
      <c r="Y132">
        <v>0</v>
      </c>
      <c r="Z132">
        <v>0</v>
      </c>
      <c r="AA132">
        <v>243276</v>
      </c>
    </row>
    <row r="133" spans="1:27">
      <c r="A133">
        <v>118</v>
      </c>
      <c r="B133" t="s">
        <v>55</v>
      </c>
      <c r="C133" t="s">
        <v>56</v>
      </c>
      <c r="D133" t="s">
        <v>129</v>
      </c>
      <c r="E133" t="s">
        <v>73</v>
      </c>
      <c r="F133" t="s">
        <v>16</v>
      </c>
      <c r="G133">
        <v>15</v>
      </c>
      <c r="H133" t="s">
        <v>18</v>
      </c>
      <c r="I133" t="s">
        <v>98</v>
      </c>
      <c r="J133">
        <v>30</v>
      </c>
      <c r="K133" t="s">
        <v>99</v>
      </c>
      <c r="L133" t="s">
        <v>100</v>
      </c>
      <c r="M133" t="s">
        <v>57</v>
      </c>
      <c r="N133" t="s">
        <v>130</v>
      </c>
      <c r="O133" t="s">
        <v>131</v>
      </c>
      <c r="P133" t="s">
        <v>126</v>
      </c>
      <c r="Q133">
        <v>75005</v>
      </c>
      <c r="R133" t="s">
        <v>58</v>
      </c>
      <c r="S133">
        <v>1100</v>
      </c>
      <c r="V133">
        <v>1100</v>
      </c>
      <c r="W133">
        <v>1280.3999999999999</v>
      </c>
      <c r="X133">
        <v>130</v>
      </c>
      <c r="Y133">
        <v>0</v>
      </c>
      <c r="Z133">
        <v>0</v>
      </c>
      <c r="AA133">
        <v>166451.99999999997</v>
      </c>
    </row>
    <row r="134" spans="1:27">
      <c r="A134">
        <v>119</v>
      </c>
      <c r="B134" t="s">
        <v>55</v>
      </c>
      <c r="C134" t="s">
        <v>56</v>
      </c>
      <c r="D134" t="s">
        <v>129</v>
      </c>
      <c r="E134" t="s">
        <v>73</v>
      </c>
      <c r="F134" t="s">
        <v>23</v>
      </c>
      <c r="G134">
        <v>20</v>
      </c>
      <c r="H134" t="s">
        <v>25</v>
      </c>
      <c r="I134" t="s">
        <v>104</v>
      </c>
      <c r="J134">
        <v>40</v>
      </c>
      <c r="K134" t="s">
        <v>99</v>
      </c>
      <c r="L134" t="s">
        <v>105</v>
      </c>
      <c r="M134" t="s">
        <v>61</v>
      </c>
      <c r="N134" t="s">
        <v>132</v>
      </c>
      <c r="O134" t="s">
        <v>131</v>
      </c>
      <c r="P134" t="s">
        <v>126</v>
      </c>
      <c r="Q134">
        <v>75005</v>
      </c>
      <c r="R134" t="s">
        <v>58</v>
      </c>
      <c r="S134">
        <v>900</v>
      </c>
      <c r="V134">
        <v>900</v>
      </c>
      <c r="W134">
        <v>1047.5999999999999</v>
      </c>
      <c r="X134">
        <v>290</v>
      </c>
      <c r="Y134">
        <v>0</v>
      </c>
      <c r="Z134">
        <v>0</v>
      </c>
      <c r="AA134">
        <v>303804</v>
      </c>
    </row>
    <row r="135" spans="1:27">
      <c r="A135">
        <v>120</v>
      </c>
      <c r="B135" t="s">
        <v>55</v>
      </c>
      <c r="C135" t="s">
        <v>56</v>
      </c>
      <c r="D135" t="s">
        <v>129</v>
      </c>
      <c r="E135" t="s">
        <v>73</v>
      </c>
      <c r="F135" t="s">
        <v>29</v>
      </c>
      <c r="G135">
        <v>18</v>
      </c>
      <c r="H135" t="s">
        <v>31</v>
      </c>
      <c r="I135" t="s">
        <v>107</v>
      </c>
      <c r="J135">
        <v>25</v>
      </c>
      <c r="K135" t="s">
        <v>99</v>
      </c>
      <c r="L135" t="s">
        <v>108</v>
      </c>
      <c r="M135" t="s">
        <v>63</v>
      </c>
      <c r="N135" t="s">
        <v>133</v>
      </c>
      <c r="O135" t="s">
        <v>131</v>
      </c>
      <c r="P135" t="s">
        <v>126</v>
      </c>
      <c r="Q135">
        <v>75005</v>
      </c>
      <c r="R135" t="s">
        <v>58</v>
      </c>
      <c r="S135">
        <v>1050</v>
      </c>
      <c r="V135">
        <v>1050</v>
      </c>
      <c r="W135">
        <v>1222.1999999999998</v>
      </c>
      <c r="X135">
        <v>270</v>
      </c>
      <c r="Y135">
        <v>0</v>
      </c>
      <c r="Z135">
        <v>0</v>
      </c>
      <c r="AA135">
        <v>329993.99999999994</v>
      </c>
    </row>
    <row r="136" spans="1:27">
      <c r="A136">
        <v>127</v>
      </c>
      <c r="B136" t="s">
        <v>45</v>
      </c>
      <c r="C136" t="s">
        <v>46</v>
      </c>
      <c r="D136" t="s">
        <v>123</v>
      </c>
      <c r="E136" t="s">
        <v>74</v>
      </c>
      <c r="F136" t="s">
        <v>16</v>
      </c>
      <c r="G136">
        <v>15</v>
      </c>
      <c r="H136" t="s">
        <v>18</v>
      </c>
      <c r="I136" t="s">
        <v>98</v>
      </c>
      <c r="J136">
        <v>30</v>
      </c>
      <c r="K136" t="s">
        <v>99</v>
      </c>
      <c r="L136" t="s">
        <v>100</v>
      </c>
      <c r="M136" t="s">
        <v>48</v>
      </c>
      <c r="N136" t="s">
        <v>124</v>
      </c>
      <c r="O136" t="s">
        <v>125</v>
      </c>
      <c r="P136" t="s">
        <v>126</v>
      </c>
      <c r="Q136">
        <v>20095</v>
      </c>
      <c r="R136" t="s">
        <v>49</v>
      </c>
      <c r="S136">
        <v>1000</v>
      </c>
      <c r="V136">
        <v>1000</v>
      </c>
      <c r="W136">
        <v>1164</v>
      </c>
      <c r="X136">
        <v>160</v>
      </c>
      <c r="Y136">
        <v>15</v>
      </c>
      <c r="Z136">
        <v>0.15</v>
      </c>
      <c r="AA136">
        <v>158304</v>
      </c>
    </row>
    <row r="137" spans="1:27">
      <c r="A137">
        <v>128</v>
      </c>
      <c r="B137" t="s">
        <v>45</v>
      </c>
      <c r="C137" t="s">
        <v>46</v>
      </c>
      <c r="D137" t="s">
        <v>123</v>
      </c>
      <c r="E137" t="s">
        <v>74</v>
      </c>
      <c r="F137" t="s">
        <v>23</v>
      </c>
      <c r="G137">
        <v>20</v>
      </c>
      <c r="H137" t="s">
        <v>25</v>
      </c>
      <c r="I137" t="s">
        <v>104</v>
      </c>
      <c r="J137">
        <v>40</v>
      </c>
      <c r="K137" t="s">
        <v>99</v>
      </c>
      <c r="L137" t="s">
        <v>105</v>
      </c>
      <c r="M137" t="s">
        <v>51</v>
      </c>
      <c r="N137" t="s">
        <v>127</v>
      </c>
      <c r="O137" t="s">
        <v>125</v>
      </c>
      <c r="P137" t="s">
        <v>126</v>
      </c>
      <c r="Q137">
        <v>20095</v>
      </c>
      <c r="R137" t="s">
        <v>49</v>
      </c>
      <c r="S137">
        <v>800</v>
      </c>
      <c r="V137">
        <v>800</v>
      </c>
      <c r="W137">
        <v>931.19999999999993</v>
      </c>
      <c r="X137">
        <v>320</v>
      </c>
      <c r="Y137">
        <v>15</v>
      </c>
      <c r="Z137">
        <v>0.15</v>
      </c>
      <c r="AA137">
        <v>253286.39999999999</v>
      </c>
    </row>
    <row r="138" spans="1:27">
      <c r="A138">
        <v>129</v>
      </c>
      <c r="B138" t="s">
        <v>45</v>
      </c>
      <c r="C138" t="s">
        <v>46</v>
      </c>
      <c r="D138" t="s">
        <v>123</v>
      </c>
      <c r="E138" t="s">
        <v>74</v>
      </c>
      <c r="F138" t="s">
        <v>29</v>
      </c>
      <c r="G138">
        <v>18</v>
      </c>
      <c r="H138" t="s">
        <v>31</v>
      </c>
      <c r="I138" t="s">
        <v>107</v>
      </c>
      <c r="J138">
        <v>25</v>
      </c>
      <c r="K138" t="s">
        <v>99</v>
      </c>
      <c r="L138" t="s">
        <v>108</v>
      </c>
      <c r="M138" t="s">
        <v>53</v>
      </c>
      <c r="N138" t="s">
        <v>128</v>
      </c>
      <c r="O138" t="s">
        <v>125</v>
      </c>
      <c r="P138" t="s">
        <v>126</v>
      </c>
      <c r="Q138">
        <v>20095</v>
      </c>
      <c r="R138" t="s">
        <v>49</v>
      </c>
      <c r="S138">
        <v>950</v>
      </c>
      <c r="V138">
        <v>950</v>
      </c>
      <c r="W138">
        <v>1105.8</v>
      </c>
      <c r="X138">
        <v>250</v>
      </c>
      <c r="Y138">
        <v>15</v>
      </c>
      <c r="Z138">
        <v>0.15</v>
      </c>
      <c r="AA138">
        <v>234982.5</v>
      </c>
    </row>
    <row r="139" spans="1:27">
      <c r="A139">
        <v>130</v>
      </c>
      <c r="B139" t="s">
        <v>55</v>
      </c>
      <c r="C139" t="s">
        <v>56</v>
      </c>
      <c r="D139" t="s">
        <v>129</v>
      </c>
      <c r="E139" t="s">
        <v>74</v>
      </c>
      <c r="F139" t="s">
        <v>16</v>
      </c>
      <c r="G139">
        <v>15</v>
      </c>
      <c r="H139" t="s">
        <v>18</v>
      </c>
      <c r="I139" t="s">
        <v>98</v>
      </c>
      <c r="J139">
        <v>30</v>
      </c>
      <c r="K139" t="s">
        <v>99</v>
      </c>
      <c r="L139" t="s">
        <v>100</v>
      </c>
      <c r="M139" t="s">
        <v>57</v>
      </c>
      <c r="N139" t="s">
        <v>130</v>
      </c>
      <c r="O139" t="s">
        <v>131</v>
      </c>
      <c r="P139" t="s">
        <v>126</v>
      </c>
      <c r="Q139">
        <v>75005</v>
      </c>
      <c r="R139" t="s">
        <v>58</v>
      </c>
      <c r="S139">
        <v>1100</v>
      </c>
      <c r="V139">
        <v>1100</v>
      </c>
      <c r="W139">
        <v>1280.3999999999999</v>
      </c>
      <c r="X139">
        <v>140</v>
      </c>
      <c r="Y139">
        <v>15</v>
      </c>
      <c r="Z139">
        <v>0.15</v>
      </c>
      <c r="AA139">
        <v>152367.59999999998</v>
      </c>
    </row>
    <row r="140" spans="1:27">
      <c r="A140">
        <v>131</v>
      </c>
      <c r="B140" t="s">
        <v>55</v>
      </c>
      <c r="C140" t="s">
        <v>56</v>
      </c>
      <c r="D140" t="s">
        <v>129</v>
      </c>
      <c r="E140" t="s">
        <v>74</v>
      </c>
      <c r="F140" t="s">
        <v>23</v>
      </c>
      <c r="G140">
        <v>20</v>
      </c>
      <c r="H140" t="s">
        <v>25</v>
      </c>
      <c r="I140" t="s">
        <v>104</v>
      </c>
      <c r="J140">
        <v>40</v>
      </c>
      <c r="K140" t="s">
        <v>99</v>
      </c>
      <c r="L140" t="s">
        <v>105</v>
      </c>
      <c r="M140" t="s">
        <v>61</v>
      </c>
      <c r="N140" t="s">
        <v>132</v>
      </c>
      <c r="O140" t="s">
        <v>131</v>
      </c>
      <c r="P140" t="s">
        <v>126</v>
      </c>
      <c r="Q140">
        <v>75005</v>
      </c>
      <c r="R140" t="s">
        <v>58</v>
      </c>
      <c r="S140">
        <v>900</v>
      </c>
      <c r="V140">
        <v>900</v>
      </c>
      <c r="W140">
        <v>1047.5999999999999</v>
      </c>
      <c r="X140">
        <v>310</v>
      </c>
      <c r="Y140">
        <v>15</v>
      </c>
      <c r="Z140">
        <v>0.15</v>
      </c>
      <c r="AA140">
        <v>276042.59999999998</v>
      </c>
    </row>
    <row r="141" spans="1:27">
      <c r="A141">
        <v>132</v>
      </c>
      <c r="B141" t="s">
        <v>55</v>
      </c>
      <c r="C141" t="s">
        <v>56</v>
      </c>
      <c r="D141" t="s">
        <v>129</v>
      </c>
      <c r="E141" t="s">
        <v>74</v>
      </c>
      <c r="F141" t="s">
        <v>29</v>
      </c>
      <c r="G141">
        <v>18</v>
      </c>
      <c r="H141" t="s">
        <v>31</v>
      </c>
      <c r="I141" t="s">
        <v>107</v>
      </c>
      <c r="J141">
        <v>25</v>
      </c>
      <c r="K141" t="s">
        <v>99</v>
      </c>
      <c r="L141" t="s">
        <v>108</v>
      </c>
      <c r="M141" t="s">
        <v>63</v>
      </c>
      <c r="N141" t="s">
        <v>133</v>
      </c>
      <c r="O141" t="s">
        <v>131</v>
      </c>
      <c r="P141" t="s">
        <v>126</v>
      </c>
      <c r="Q141">
        <v>75005</v>
      </c>
      <c r="R141" t="s">
        <v>58</v>
      </c>
      <c r="S141">
        <v>900</v>
      </c>
      <c r="V141">
        <v>900</v>
      </c>
      <c r="W141">
        <v>1047.5999999999999</v>
      </c>
      <c r="X141">
        <v>290</v>
      </c>
      <c r="Y141">
        <v>15</v>
      </c>
      <c r="Z141">
        <v>0.15</v>
      </c>
      <c r="AA141">
        <v>258233.4</v>
      </c>
    </row>
    <row r="142" spans="1:27">
      <c r="A142">
        <v>139</v>
      </c>
      <c r="B142" t="s">
        <v>45</v>
      </c>
      <c r="C142" t="s">
        <v>46</v>
      </c>
      <c r="D142" t="s">
        <v>123</v>
      </c>
      <c r="E142" t="s">
        <v>75</v>
      </c>
      <c r="F142" t="s">
        <v>16</v>
      </c>
      <c r="G142">
        <v>15</v>
      </c>
      <c r="H142" t="s">
        <v>18</v>
      </c>
      <c r="I142" t="s">
        <v>98</v>
      </c>
      <c r="J142">
        <v>48.28</v>
      </c>
      <c r="K142" t="s">
        <v>115</v>
      </c>
      <c r="L142" t="s">
        <v>119</v>
      </c>
      <c r="M142" t="s">
        <v>48</v>
      </c>
      <c r="N142" t="s">
        <v>124</v>
      </c>
      <c r="O142" t="s">
        <v>125</v>
      </c>
      <c r="P142" t="s">
        <v>126</v>
      </c>
      <c r="Q142">
        <v>20095</v>
      </c>
      <c r="R142" t="s">
        <v>49</v>
      </c>
      <c r="T142">
        <v>4200</v>
      </c>
      <c r="V142">
        <v>22.9404</v>
      </c>
      <c r="W142">
        <v>26.702625599999998</v>
      </c>
      <c r="X142">
        <v>200</v>
      </c>
      <c r="Y142">
        <v>20</v>
      </c>
      <c r="Z142">
        <v>0.2</v>
      </c>
      <c r="AA142">
        <v>4272.4200959999998</v>
      </c>
    </row>
    <row r="143" spans="1:27">
      <c r="A143">
        <v>140</v>
      </c>
      <c r="B143" t="s">
        <v>45</v>
      </c>
      <c r="C143" t="s">
        <v>46</v>
      </c>
      <c r="D143" t="s">
        <v>123</v>
      </c>
      <c r="E143" t="s">
        <v>75</v>
      </c>
      <c r="F143" t="s">
        <v>23</v>
      </c>
      <c r="G143">
        <v>20</v>
      </c>
      <c r="H143" t="s">
        <v>25</v>
      </c>
      <c r="I143" t="s">
        <v>104</v>
      </c>
      <c r="J143">
        <v>64.37</v>
      </c>
      <c r="K143" t="s">
        <v>115</v>
      </c>
      <c r="L143" t="s">
        <v>120</v>
      </c>
      <c r="M143" t="s">
        <v>51</v>
      </c>
      <c r="N143" t="s">
        <v>127</v>
      </c>
      <c r="O143" t="s">
        <v>125</v>
      </c>
      <c r="P143" t="s">
        <v>126</v>
      </c>
      <c r="Q143">
        <v>20095</v>
      </c>
      <c r="R143" t="s">
        <v>49</v>
      </c>
      <c r="S143">
        <v>1000</v>
      </c>
      <c r="V143">
        <v>1000</v>
      </c>
      <c r="W143">
        <v>1164</v>
      </c>
      <c r="X143">
        <v>400</v>
      </c>
      <c r="Y143">
        <v>20</v>
      </c>
      <c r="Z143">
        <v>0.2</v>
      </c>
      <c r="AA143">
        <v>372480</v>
      </c>
    </row>
    <row r="144" spans="1:27">
      <c r="A144">
        <v>141</v>
      </c>
      <c r="B144" t="s">
        <v>45</v>
      </c>
      <c r="C144" t="s">
        <v>46</v>
      </c>
      <c r="D144" t="s">
        <v>123</v>
      </c>
      <c r="E144" t="s">
        <v>75</v>
      </c>
      <c r="F144" t="s">
        <v>29</v>
      </c>
      <c r="G144">
        <v>17.515000000000001</v>
      </c>
      <c r="H144" t="s">
        <v>31</v>
      </c>
      <c r="I144" t="s">
        <v>122</v>
      </c>
      <c r="J144">
        <v>25</v>
      </c>
      <c r="K144" t="s">
        <v>99</v>
      </c>
      <c r="L144" t="s">
        <v>108</v>
      </c>
      <c r="M144" t="s">
        <v>53</v>
      </c>
      <c r="N144" t="s">
        <v>128</v>
      </c>
      <c r="O144" t="s">
        <v>125</v>
      </c>
      <c r="P144" t="s">
        <v>126</v>
      </c>
      <c r="Q144">
        <v>20095</v>
      </c>
      <c r="R144" t="s">
        <v>49</v>
      </c>
      <c r="S144">
        <v>800</v>
      </c>
      <c r="V144">
        <v>800</v>
      </c>
      <c r="W144">
        <v>931.19999999999993</v>
      </c>
      <c r="X144">
        <v>350</v>
      </c>
      <c r="Y144">
        <v>20</v>
      </c>
      <c r="Z144">
        <v>0.2</v>
      </c>
      <c r="AA144">
        <v>260736</v>
      </c>
    </row>
    <row r="145" spans="1:27">
      <c r="A145">
        <v>142</v>
      </c>
      <c r="B145" t="s">
        <v>55</v>
      </c>
      <c r="C145" t="s">
        <v>56</v>
      </c>
      <c r="D145" t="s">
        <v>129</v>
      </c>
      <c r="E145" t="s">
        <v>75</v>
      </c>
      <c r="F145" t="s">
        <v>16</v>
      </c>
      <c r="G145">
        <v>15</v>
      </c>
      <c r="H145" t="s">
        <v>18</v>
      </c>
      <c r="I145" t="s">
        <v>98</v>
      </c>
      <c r="J145">
        <v>30</v>
      </c>
      <c r="K145" t="s">
        <v>99</v>
      </c>
      <c r="L145" t="s">
        <v>100</v>
      </c>
      <c r="M145" t="s">
        <v>57</v>
      </c>
      <c r="N145" t="s">
        <v>130</v>
      </c>
      <c r="O145" t="s">
        <v>131</v>
      </c>
      <c r="P145" t="s">
        <v>126</v>
      </c>
      <c r="Q145">
        <v>75005</v>
      </c>
      <c r="R145" t="s">
        <v>58</v>
      </c>
      <c r="S145">
        <v>950</v>
      </c>
      <c r="V145">
        <v>950</v>
      </c>
      <c r="W145">
        <v>1105.8</v>
      </c>
      <c r="X145">
        <v>180</v>
      </c>
      <c r="Y145">
        <v>20</v>
      </c>
      <c r="Z145">
        <v>0.2</v>
      </c>
      <c r="AA145">
        <v>159235.20000000001</v>
      </c>
    </row>
    <row r="146" spans="1:27">
      <c r="A146">
        <v>143</v>
      </c>
      <c r="B146" t="s">
        <v>55</v>
      </c>
      <c r="C146" t="s">
        <v>56</v>
      </c>
      <c r="D146" t="s">
        <v>129</v>
      </c>
      <c r="E146" t="s">
        <v>75</v>
      </c>
      <c r="F146" t="s">
        <v>23</v>
      </c>
      <c r="G146">
        <v>20</v>
      </c>
      <c r="H146" t="s">
        <v>25</v>
      </c>
      <c r="I146" t="s">
        <v>104</v>
      </c>
      <c r="J146">
        <v>40</v>
      </c>
      <c r="K146" t="s">
        <v>99</v>
      </c>
      <c r="L146" t="s">
        <v>105</v>
      </c>
      <c r="M146" t="s">
        <v>61</v>
      </c>
      <c r="N146" t="s">
        <v>132</v>
      </c>
      <c r="O146" t="s">
        <v>131</v>
      </c>
      <c r="P146" t="s">
        <v>126</v>
      </c>
      <c r="Q146">
        <v>75005</v>
      </c>
      <c r="R146" t="s">
        <v>58</v>
      </c>
      <c r="S146">
        <v>1100</v>
      </c>
      <c r="V146">
        <v>1100</v>
      </c>
      <c r="W146">
        <v>1280.3999999999999</v>
      </c>
      <c r="X146">
        <v>400</v>
      </c>
      <c r="Y146">
        <v>20</v>
      </c>
      <c r="Z146">
        <v>0.2</v>
      </c>
      <c r="AA146">
        <v>409728</v>
      </c>
    </row>
    <row r="147" spans="1:27">
      <c r="A147">
        <v>144</v>
      </c>
      <c r="B147" t="s">
        <v>55</v>
      </c>
      <c r="C147" t="s">
        <v>56</v>
      </c>
      <c r="D147" t="s">
        <v>129</v>
      </c>
      <c r="E147" t="s">
        <v>75</v>
      </c>
      <c r="F147" t="s">
        <v>29</v>
      </c>
      <c r="G147">
        <v>18</v>
      </c>
      <c r="H147" t="s">
        <v>31</v>
      </c>
      <c r="I147" t="s">
        <v>107</v>
      </c>
      <c r="J147">
        <v>25</v>
      </c>
      <c r="K147" t="s">
        <v>99</v>
      </c>
      <c r="L147" t="s">
        <v>108</v>
      </c>
      <c r="M147" t="s">
        <v>63</v>
      </c>
      <c r="N147" t="s">
        <v>133</v>
      </c>
      <c r="O147" t="s">
        <v>131</v>
      </c>
      <c r="P147" t="s">
        <v>126</v>
      </c>
      <c r="Q147">
        <v>75005</v>
      </c>
      <c r="R147" t="s">
        <v>58</v>
      </c>
      <c r="S147">
        <v>900</v>
      </c>
      <c r="V147">
        <v>900</v>
      </c>
      <c r="W147">
        <v>1047.5999999999999</v>
      </c>
      <c r="X147">
        <v>360</v>
      </c>
      <c r="Y147">
        <v>20</v>
      </c>
      <c r="Z147">
        <v>0.2</v>
      </c>
      <c r="AA147">
        <v>301708.79999999999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6C19-2A72-4EDD-AE56-5B5EC1001B8F}">
  <dimension ref="A1:AA167"/>
  <sheetViews>
    <sheetView workbookViewId="0"/>
  </sheetViews>
  <sheetFormatPr defaultRowHeight="15"/>
  <cols>
    <col min="1" max="1" width="13.85546875" bestFit="1" customWidth="1"/>
    <col min="2" max="2" width="16.140625" bestFit="1" customWidth="1"/>
    <col min="3" max="3" width="16" bestFit="1" customWidth="1"/>
    <col min="4" max="4" width="16.85546875" bestFit="1" customWidth="1"/>
    <col min="5" max="5" width="10.28515625" bestFit="1" customWidth="1"/>
    <col min="6" max="6" width="17.5703125" bestFit="1" customWidth="1"/>
    <col min="7" max="7" width="12" bestFit="1" customWidth="1"/>
    <col min="9" max="9" width="22.140625" bestFit="1" customWidth="1"/>
    <col min="10" max="10" width="10.7109375" bestFit="1" customWidth="1"/>
    <col min="11" max="11" width="12.140625" bestFit="1" customWidth="1"/>
    <col min="12" max="12" width="15.42578125" bestFit="1" customWidth="1"/>
    <col min="13" max="13" width="36.42578125" bestFit="1" customWidth="1"/>
    <col min="14" max="14" width="24.85546875" bestFit="1" customWidth="1"/>
    <col min="15" max="15" width="10" bestFit="1" customWidth="1"/>
    <col min="16" max="16" width="11.5703125" bestFit="1" customWidth="1"/>
    <col min="17" max="17" width="13.140625" bestFit="1" customWidth="1"/>
    <col min="18" max="18" width="14.85546875" bestFit="1" customWidth="1"/>
    <col min="19" max="19" width="29.28515625" bestFit="1" customWidth="1"/>
    <col min="20" max="21" width="12.85546875" bestFit="1" customWidth="1"/>
    <col min="22" max="22" width="17" bestFit="1" customWidth="1"/>
    <col min="23" max="23" width="20.85546875" bestFit="1" customWidth="1"/>
    <col min="24" max="24" width="11.85546875" bestFit="1" customWidth="1"/>
    <col min="25" max="25" width="14.140625" bestFit="1" customWidth="1"/>
    <col min="26" max="26" width="12.140625" bestFit="1" customWidth="1"/>
    <col min="27" max="27" width="15.28515625" bestFit="1" customWidth="1"/>
  </cols>
  <sheetData>
    <row r="1" spans="1:27">
      <c r="A1" s="39" t="s">
        <v>81</v>
      </c>
    </row>
    <row r="3" spans="1:27">
      <c r="A3" t="s">
        <v>0</v>
      </c>
      <c r="B3" t="s">
        <v>1</v>
      </c>
      <c r="C3" t="s">
        <v>2</v>
      </c>
      <c r="D3" t="s">
        <v>82</v>
      </c>
      <c r="E3" t="s">
        <v>3</v>
      </c>
      <c r="F3" t="s">
        <v>4</v>
      </c>
      <c r="G3" t="s">
        <v>5</v>
      </c>
      <c r="H3" t="s">
        <v>6</v>
      </c>
      <c r="I3" t="s">
        <v>83</v>
      </c>
      <c r="J3" t="s">
        <v>7</v>
      </c>
      <c r="K3" t="s">
        <v>84</v>
      </c>
      <c r="L3" t="s">
        <v>85</v>
      </c>
      <c r="M3" t="s">
        <v>8</v>
      </c>
      <c r="N3" t="s">
        <v>86</v>
      </c>
      <c r="O3" t="s">
        <v>87</v>
      </c>
      <c r="P3" t="s">
        <v>88</v>
      </c>
      <c r="Q3" t="s">
        <v>89</v>
      </c>
      <c r="R3" t="s">
        <v>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11</v>
      </c>
      <c r="Y3" t="s">
        <v>12</v>
      </c>
      <c r="Z3" t="s">
        <v>95</v>
      </c>
      <c r="AA3" t="s">
        <v>96</v>
      </c>
    </row>
    <row r="4" spans="1:27">
      <c r="A4">
        <v>1</v>
      </c>
      <c r="B4" t="s">
        <v>13</v>
      </c>
      <c r="C4" t="s">
        <v>14</v>
      </c>
      <c r="D4" t="s">
        <v>97</v>
      </c>
      <c r="E4" t="s">
        <v>15</v>
      </c>
      <c r="F4" t="s">
        <v>16</v>
      </c>
      <c r="G4">
        <v>15</v>
      </c>
      <c r="H4" t="s">
        <v>18</v>
      </c>
      <c r="I4" t="s">
        <v>98</v>
      </c>
      <c r="J4">
        <v>30</v>
      </c>
      <c r="K4" t="s">
        <v>99</v>
      </c>
      <c r="L4" t="s">
        <v>100</v>
      </c>
      <c r="M4" t="s">
        <v>20</v>
      </c>
      <c r="N4" t="s">
        <v>101</v>
      </c>
      <c r="O4" t="s">
        <v>102</v>
      </c>
      <c r="P4" t="s">
        <v>103</v>
      </c>
      <c r="Q4">
        <v>560001</v>
      </c>
      <c r="R4" t="s">
        <v>21</v>
      </c>
      <c r="U4">
        <v>30000</v>
      </c>
      <c r="V4">
        <v>285.60000000000002</v>
      </c>
      <c r="W4">
        <v>332.4384</v>
      </c>
      <c r="X4">
        <v>150</v>
      </c>
      <c r="Y4">
        <v>10</v>
      </c>
      <c r="Z4">
        <v>0.1</v>
      </c>
      <c r="AA4">
        <v>44879.184000000001</v>
      </c>
    </row>
    <row r="5" spans="1:27">
      <c r="A5">
        <v>2</v>
      </c>
      <c r="B5" t="s">
        <v>13</v>
      </c>
      <c r="C5" t="s">
        <v>14</v>
      </c>
      <c r="D5" t="s">
        <v>97</v>
      </c>
      <c r="E5" t="s">
        <v>15</v>
      </c>
      <c r="F5" t="s">
        <v>23</v>
      </c>
      <c r="G5">
        <v>20</v>
      </c>
      <c r="H5" t="s">
        <v>25</v>
      </c>
      <c r="I5" t="s">
        <v>104</v>
      </c>
      <c r="J5">
        <v>40</v>
      </c>
      <c r="K5" t="s">
        <v>99</v>
      </c>
      <c r="L5" t="s">
        <v>105</v>
      </c>
      <c r="M5" t="s">
        <v>27</v>
      </c>
      <c r="N5" t="s">
        <v>106</v>
      </c>
      <c r="O5" t="s">
        <v>102</v>
      </c>
      <c r="P5" t="s">
        <v>103</v>
      </c>
      <c r="Q5">
        <v>560001</v>
      </c>
      <c r="R5" t="s">
        <v>21</v>
      </c>
      <c r="U5">
        <v>25000</v>
      </c>
      <c r="V5">
        <v>238.00000000000003</v>
      </c>
      <c r="W5">
        <v>277.03200000000004</v>
      </c>
      <c r="X5">
        <v>300</v>
      </c>
      <c r="Y5">
        <v>10</v>
      </c>
      <c r="Z5">
        <v>0.1</v>
      </c>
      <c r="AA5">
        <v>74798.640000000014</v>
      </c>
    </row>
    <row r="6" spans="1:27">
      <c r="A6">
        <v>3</v>
      </c>
      <c r="B6" t="s">
        <v>13</v>
      </c>
      <c r="C6" t="s">
        <v>14</v>
      </c>
      <c r="D6" t="s">
        <v>97</v>
      </c>
      <c r="E6" t="s">
        <v>15</v>
      </c>
      <c r="F6" t="s">
        <v>29</v>
      </c>
      <c r="G6">
        <v>18</v>
      </c>
      <c r="H6" t="s">
        <v>31</v>
      </c>
      <c r="I6" t="s">
        <v>107</v>
      </c>
      <c r="J6">
        <v>25</v>
      </c>
      <c r="K6" t="s">
        <v>99</v>
      </c>
      <c r="L6" t="s">
        <v>108</v>
      </c>
      <c r="M6" t="s">
        <v>33</v>
      </c>
      <c r="N6" t="s">
        <v>109</v>
      </c>
      <c r="O6" t="s">
        <v>102</v>
      </c>
      <c r="P6" t="s">
        <v>103</v>
      </c>
      <c r="Q6">
        <v>560001</v>
      </c>
      <c r="R6" t="s">
        <v>21</v>
      </c>
      <c r="U6">
        <v>25000</v>
      </c>
      <c r="V6">
        <v>238.00000000000003</v>
      </c>
      <c r="W6">
        <v>277.03200000000004</v>
      </c>
      <c r="X6">
        <v>200</v>
      </c>
      <c r="Y6">
        <v>10</v>
      </c>
      <c r="Z6">
        <v>0.1</v>
      </c>
      <c r="AA6">
        <v>49865.760000000009</v>
      </c>
    </row>
    <row r="7" spans="1:27">
      <c r="A7">
        <v>4</v>
      </c>
      <c r="B7" t="s">
        <v>35</v>
      </c>
      <c r="C7" t="s">
        <v>36</v>
      </c>
      <c r="D7" t="s">
        <v>110</v>
      </c>
      <c r="E7" t="s">
        <v>15</v>
      </c>
      <c r="F7" t="s">
        <v>16</v>
      </c>
      <c r="G7">
        <v>15</v>
      </c>
      <c r="H7" t="s">
        <v>18</v>
      </c>
      <c r="I7" t="s">
        <v>98</v>
      </c>
      <c r="J7">
        <v>30</v>
      </c>
      <c r="K7" t="s">
        <v>99</v>
      </c>
      <c r="L7" t="s">
        <v>100</v>
      </c>
      <c r="M7" t="s">
        <v>37</v>
      </c>
      <c r="N7" t="s">
        <v>111</v>
      </c>
      <c r="O7" t="s">
        <v>112</v>
      </c>
      <c r="P7" t="s">
        <v>103</v>
      </c>
      <c r="Q7">
        <v>200001</v>
      </c>
      <c r="R7" t="s">
        <v>38</v>
      </c>
      <c r="U7">
        <v>22000</v>
      </c>
      <c r="V7">
        <v>209.44000000000003</v>
      </c>
      <c r="W7">
        <v>243.78816</v>
      </c>
      <c r="X7">
        <v>500</v>
      </c>
      <c r="Y7">
        <v>10</v>
      </c>
      <c r="Z7">
        <v>0.1</v>
      </c>
      <c r="AA7">
        <v>109704.67200000001</v>
      </c>
    </row>
    <row r="8" spans="1:27">
      <c r="A8">
        <v>5</v>
      </c>
      <c r="B8" t="s">
        <v>35</v>
      </c>
      <c r="C8" t="s">
        <v>36</v>
      </c>
      <c r="D8" t="s">
        <v>110</v>
      </c>
      <c r="E8" t="s">
        <v>15</v>
      </c>
      <c r="F8" t="s">
        <v>23</v>
      </c>
      <c r="G8">
        <v>20</v>
      </c>
      <c r="H8" t="s">
        <v>25</v>
      </c>
      <c r="I8" t="s">
        <v>104</v>
      </c>
      <c r="J8">
        <v>40</v>
      </c>
      <c r="K8" t="s">
        <v>99</v>
      </c>
      <c r="L8" t="s">
        <v>105</v>
      </c>
      <c r="M8" t="s">
        <v>40</v>
      </c>
      <c r="N8" t="s">
        <v>113</v>
      </c>
      <c r="O8" t="s">
        <v>112</v>
      </c>
      <c r="P8" t="s">
        <v>103</v>
      </c>
      <c r="Q8">
        <v>200001</v>
      </c>
      <c r="R8" t="s">
        <v>38</v>
      </c>
      <c r="T8">
        <v>5000</v>
      </c>
      <c r="V8">
        <v>27.31</v>
      </c>
      <c r="W8">
        <v>31.788839999999997</v>
      </c>
      <c r="X8">
        <v>1000</v>
      </c>
      <c r="Y8">
        <v>10</v>
      </c>
      <c r="Z8">
        <v>0.1</v>
      </c>
      <c r="AA8">
        <v>28609.955999999998</v>
      </c>
    </row>
    <row r="9" spans="1:27">
      <c r="A9">
        <v>6</v>
      </c>
      <c r="B9" t="s">
        <v>35</v>
      </c>
      <c r="C9" t="s">
        <v>36</v>
      </c>
      <c r="D9" t="s">
        <v>110</v>
      </c>
      <c r="E9" t="s">
        <v>15</v>
      </c>
      <c r="F9" t="s">
        <v>29</v>
      </c>
      <c r="G9">
        <v>0</v>
      </c>
      <c r="H9" t="s">
        <v>31</v>
      </c>
      <c r="I9" t="s">
        <v>114</v>
      </c>
      <c r="J9">
        <v>40.229999999999997</v>
      </c>
      <c r="K9" t="s">
        <v>115</v>
      </c>
      <c r="L9" t="s">
        <v>116</v>
      </c>
      <c r="M9" t="s">
        <v>43</v>
      </c>
      <c r="N9" t="s">
        <v>117</v>
      </c>
      <c r="O9" t="s">
        <v>112</v>
      </c>
      <c r="P9" t="s">
        <v>103</v>
      </c>
      <c r="Q9">
        <v>200001</v>
      </c>
      <c r="R9" t="s">
        <v>38</v>
      </c>
      <c r="T9">
        <v>3500</v>
      </c>
      <c r="V9">
        <v>19.117000000000001</v>
      </c>
      <c r="W9">
        <v>22.252188</v>
      </c>
      <c r="X9">
        <v>800</v>
      </c>
      <c r="Y9">
        <v>10</v>
      </c>
      <c r="Z9">
        <v>0.1</v>
      </c>
      <c r="AA9">
        <v>16021.575360000001</v>
      </c>
    </row>
    <row r="10" spans="1:27">
      <c r="A10">
        <v>7</v>
      </c>
      <c r="B10" t="s">
        <v>45</v>
      </c>
      <c r="C10" t="s">
        <v>46</v>
      </c>
      <c r="D10" t="s">
        <v>123</v>
      </c>
      <c r="E10" t="s">
        <v>15</v>
      </c>
      <c r="F10" t="s">
        <v>16</v>
      </c>
      <c r="G10">
        <v>15</v>
      </c>
      <c r="H10" t="s">
        <v>18</v>
      </c>
      <c r="I10" t="s">
        <v>98</v>
      </c>
      <c r="J10">
        <v>48.28</v>
      </c>
      <c r="K10" t="s">
        <v>115</v>
      </c>
      <c r="L10" t="s">
        <v>119</v>
      </c>
      <c r="M10" t="s">
        <v>48</v>
      </c>
      <c r="N10" t="s">
        <v>124</v>
      </c>
      <c r="O10" t="s">
        <v>125</v>
      </c>
      <c r="P10" t="s">
        <v>126</v>
      </c>
      <c r="Q10">
        <v>20095</v>
      </c>
      <c r="R10" t="s">
        <v>49</v>
      </c>
      <c r="T10">
        <v>4200</v>
      </c>
      <c r="V10">
        <v>22.9404</v>
      </c>
      <c r="W10">
        <v>26.702625599999998</v>
      </c>
      <c r="X10">
        <v>120</v>
      </c>
      <c r="Y10">
        <v>10</v>
      </c>
      <c r="Z10">
        <v>0.1</v>
      </c>
      <c r="AA10">
        <v>2883.8835647999999</v>
      </c>
    </row>
    <row r="11" spans="1:27">
      <c r="A11">
        <v>8</v>
      </c>
      <c r="B11" t="s">
        <v>45</v>
      </c>
      <c r="C11" t="s">
        <v>46</v>
      </c>
      <c r="D11" t="s">
        <v>123</v>
      </c>
      <c r="E11" t="s">
        <v>15</v>
      </c>
      <c r="F11" t="s">
        <v>23</v>
      </c>
      <c r="G11">
        <v>20</v>
      </c>
      <c r="H11" t="s">
        <v>25</v>
      </c>
      <c r="I11" t="s">
        <v>104</v>
      </c>
      <c r="J11">
        <v>40</v>
      </c>
      <c r="K11" t="s">
        <v>99</v>
      </c>
      <c r="L11" t="s">
        <v>105</v>
      </c>
      <c r="M11" t="s">
        <v>51</v>
      </c>
      <c r="N11" t="s">
        <v>127</v>
      </c>
      <c r="O11" t="s">
        <v>125</v>
      </c>
      <c r="P11" t="s">
        <v>126</v>
      </c>
      <c r="Q11">
        <v>20095</v>
      </c>
      <c r="R11" t="s">
        <v>49</v>
      </c>
      <c r="S11">
        <v>1000</v>
      </c>
      <c r="V11">
        <v>1000</v>
      </c>
      <c r="W11">
        <v>1164</v>
      </c>
      <c r="X11">
        <v>200</v>
      </c>
      <c r="Y11">
        <v>10</v>
      </c>
      <c r="Z11">
        <v>0.1</v>
      </c>
      <c r="AA11">
        <v>209520</v>
      </c>
    </row>
    <row r="12" spans="1:27">
      <c r="A12">
        <v>9</v>
      </c>
      <c r="B12" t="s">
        <v>45</v>
      </c>
      <c r="C12" t="s">
        <v>46</v>
      </c>
      <c r="D12" t="s">
        <v>123</v>
      </c>
      <c r="E12" t="s">
        <v>15</v>
      </c>
      <c r="F12" t="s">
        <v>29</v>
      </c>
      <c r="G12">
        <v>18</v>
      </c>
      <c r="H12" t="s">
        <v>31</v>
      </c>
      <c r="I12" t="s">
        <v>107</v>
      </c>
      <c r="J12">
        <v>25</v>
      </c>
      <c r="K12" t="s">
        <v>99</v>
      </c>
      <c r="L12" t="s">
        <v>108</v>
      </c>
      <c r="M12" t="s">
        <v>53</v>
      </c>
      <c r="N12" t="s">
        <v>128</v>
      </c>
      <c r="O12" t="s">
        <v>125</v>
      </c>
      <c r="P12" t="s">
        <v>126</v>
      </c>
      <c r="Q12">
        <v>20095</v>
      </c>
      <c r="R12" t="s">
        <v>49</v>
      </c>
      <c r="S12">
        <v>800</v>
      </c>
      <c r="V12">
        <v>800</v>
      </c>
      <c r="W12">
        <v>931.19999999999993</v>
      </c>
      <c r="X12">
        <v>150</v>
      </c>
      <c r="Y12">
        <v>10</v>
      </c>
      <c r="Z12">
        <v>0.1</v>
      </c>
      <c r="AA12">
        <v>125712</v>
      </c>
    </row>
    <row r="13" spans="1:27">
      <c r="A13">
        <v>10</v>
      </c>
      <c r="B13" t="s">
        <v>55</v>
      </c>
      <c r="C13" t="s">
        <v>56</v>
      </c>
      <c r="D13" t="s">
        <v>129</v>
      </c>
      <c r="E13" t="s">
        <v>15</v>
      </c>
      <c r="F13" t="s">
        <v>16</v>
      </c>
      <c r="G13">
        <v>15</v>
      </c>
      <c r="H13" t="s">
        <v>18</v>
      </c>
      <c r="I13" t="s">
        <v>98</v>
      </c>
      <c r="J13">
        <v>30</v>
      </c>
      <c r="K13" t="s">
        <v>99</v>
      </c>
      <c r="L13" t="s">
        <v>100</v>
      </c>
      <c r="M13" t="s">
        <v>57</v>
      </c>
      <c r="N13" t="s">
        <v>130</v>
      </c>
      <c r="O13" t="s">
        <v>131</v>
      </c>
      <c r="P13" t="s">
        <v>126</v>
      </c>
      <c r="Q13">
        <v>75005</v>
      </c>
      <c r="R13" t="s">
        <v>58</v>
      </c>
      <c r="S13">
        <v>800</v>
      </c>
      <c r="V13">
        <v>800</v>
      </c>
      <c r="W13">
        <v>931.19999999999993</v>
      </c>
      <c r="X13">
        <v>100</v>
      </c>
      <c r="Y13">
        <v>10</v>
      </c>
      <c r="Z13">
        <v>0.1</v>
      </c>
      <c r="AA13">
        <v>83808</v>
      </c>
    </row>
    <row r="14" spans="1:27">
      <c r="A14">
        <v>11</v>
      </c>
      <c r="B14" t="s">
        <v>55</v>
      </c>
      <c r="C14" t="s">
        <v>56</v>
      </c>
      <c r="D14" t="s">
        <v>129</v>
      </c>
      <c r="E14" t="s">
        <v>15</v>
      </c>
      <c r="F14" t="s">
        <v>23</v>
      </c>
      <c r="G14">
        <v>20</v>
      </c>
      <c r="H14" t="s">
        <v>25</v>
      </c>
      <c r="I14" t="s">
        <v>104</v>
      </c>
      <c r="J14">
        <v>64.37</v>
      </c>
      <c r="K14" t="s">
        <v>115</v>
      </c>
      <c r="L14" t="s">
        <v>120</v>
      </c>
      <c r="M14" t="s">
        <v>61</v>
      </c>
      <c r="N14" t="s">
        <v>132</v>
      </c>
      <c r="O14" t="s">
        <v>131</v>
      </c>
      <c r="P14" t="s">
        <v>126</v>
      </c>
      <c r="Q14">
        <v>75005</v>
      </c>
      <c r="R14" t="s">
        <v>58</v>
      </c>
      <c r="S14">
        <v>950</v>
      </c>
      <c r="V14">
        <v>950</v>
      </c>
      <c r="W14">
        <v>1105.8</v>
      </c>
      <c r="X14">
        <v>250</v>
      </c>
      <c r="Y14">
        <v>10</v>
      </c>
      <c r="Z14">
        <v>0.1</v>
      </c>
      <c r="AA14">
        <v>248805</v>
      </c>
    </row>
    <row r="15" spans="1:27">
      <c r="A15">
        <v>12</v>
      </c>
      <c r="B15" t="s">
        <v>55</v>
      </c>
      <c r="C15" t="s">
        <v>56</v>
      </c>
      <c r="D15" t="s">
        <v>129</v>
      </c>
      <c r="E15" t="s">
        <v>15</v>
      </c>
      <c r="F15" t="s">
        <v>29</v>
      </c>
      <c r="G15">
        <v>18</v>
      </c>
      <c r="H15" t="s">
        <v>31</v>
      </c>
      <c r="I15" t="s">
        <v>107</v>
      </c>
      <c r="J15">
        <v>25</v>
      </c>
      <c r="K15" t="s">
        <v>99</v>
      </c>
      <c r="L15" t="s">
        <v>108</v>
      </c>
      <c r="M15" t="s">
        <v>63</v>
      </c>
      <c r="N15" t="s">
        <v>133</v>
      </c>
      <c r="O15" t="s">
        <v>131</v>
      </c>
      <c r="P15" t="s">
        <v>126</v>
      </c>
      <c r="Q15">
        <v>75005</v>
      </c>
      <c r="R15" t="s">
        <v>58</v>
      </c>
      <c r="S15">
        <v>1100</v>
      </c>
      <c r="V15">
        <v>1100</v>
      </c>
      <c r="W15">
        <v>1280.3999999999999</v>
      </c>
      <c r="X15">
        <v>180</v>
      </c>
      <c r="Y15">
        <v>10</v>
      </c>
      <c r="Z15">
        <v>0.1</v>
      </c>
      <c r="AA15">
        <v>207424.8</v>
      </c>
    </row>
    <row r="16" spans="1:27">
      <c r="A16">
        <v>13</v>
      </c>
      <c r="B16" t="s">
        <v>13</v>
      </c>
      <c r="C16" t="s">
        <v>14</v>
      </c>
      <c r="D16" t="s">
        <v>97</v>
      </c>
      <c r="E16" t="s">
        <v>65</v>
      </c>
      <c r="F16" t="s">
        <v>16</v>
      </c>
      <c r="G16">
        <v>15</v>
      </c>
      <c r="H16" t="s">
        <v>18</v>
      </c>
      <c r="I16" t="s">
        <v>98</v>
      </c>
      <c r="J16">
        <v>30</v>
      </c>
      <c r="K16" t="s">
        <v>99</v>
      </c>
      <c r="L16" t="s">
        <v>100</v>
      </c>
      <c r="M16" t="s">
        <v>20</v>
      </c>
      <c r="N16" t="s">
        <v>101</v>
      </c>
      <c r="O16" t="s">
        <v>102</v>
      </c>
      <c r="P16" t="s">
        <v>103</v>
      </c>
      <c r="Q16">
        <v>560001</v>
      </c>
      <c r="R16" t="s">
        <v>21</v>
      </c>
      <c r="S16">
        <v>900</v>
      </c>
      <c r="V16">
        <v>900</v>
      </c>
      <c r="W16">
        <v>1047.5999999999999</v>
      </c>
      <c r="X16">
        <v>160</v>
      </c>
      <c r="Y16">
        <v>0</v>
      </c>
      <c r="Z16">
        <v>0</v>
      </c>
      <c r="AA16">
        <v>167616</v>
      </c>
    </row>
    <row r="17" spans="1:27">
      <c r="A17">
        <v>14</v>
      </c>
      <c r="B17" t="s">
        <v>13</v>
      </c>
      <c r="C17" t="s">
        <v>14</v>
      </c>
      <c r="D17" t="s">
        <v>97</v>
      </c>
      <c r="E17" t="s">
        <v>65</v>
      </c>
      <c r="F17" t="s">
        <v>23</v>
      </c>
      <c r="G17">
        <v>17.515000000000001</v>
      </c>
      <c r="H17" t="s">
        <v>25</v>
      </c>
      <c r="I17" t="s">
        <v>118</v>
      </c>
      <c r="J17">
        <v>40</v>
      </c>
      <c r="K17" t="s">
        <v>99</v>
      </c>
      <c r="L17" t="s">
        <v>105</v>
      </c>
      <c r="M17" t="s">
        <v>27</v>
      </c>
      <c r="N17" t="s">
        <v>106</v>
      </c>
      <c r="O17" t="s">
        <v>102</v>
      </c>
      <c r="P17" t="s">
        <v>103</v>
      </c>
      <c r="Q17">
        <v>560001</v>
      </c>
      <c r="R17" t="s">
        <v>21</v>
      </c>
      <c r="S17">
        <v>1050</v>
      </c>
      <c r="V17">
        <v>1050</v>
      </c>
      <c r="W17">
        <v>1222.1999999999998</v>
      </c>
      <c r="X17">
        <v>350</v>
      </c>
      <c r="Y17">
        <v>0</v>
      </c>
      <c r="Z17">
        <v>0</v>
      </c>
      <c r="AA17">
        <v>427769.99999999994</v>
      </c>
    </row>
    <row r="18" spans="1:27">
      <c r="A18">
        <v>15</v>
      </c>
      <c r="B18" t="s">
        <v>13</v>
      </c>
      <c r="C18" t="s">
        <v>14</v>
      </c>
      <c r="D18" t="s">
        <v>97</v>
      </c>
      <c r="E18" t="s">
        <v>65</v>
      </c>
      <c r="F18" t="s">
        <v>29</v>
      </c>
      <c r="G18">
        <v>18</v>
      </c>
      <c r="H18" t="s">
        <v>31</v>
      </c>
      <c r="I18" t="s">
        <v>107</v>
      </c>
      <c r="J18">
        <v>25</v>
      </c>
      <c r="K18" t="s">
        <v>99</v>
      </c>
      <c r="L18" t="s">
        <v>108</v>
      </c>
      <c r="M18" t="s">
        <v>33</v>
      </c>
      <c r="N18" t="s">
        <v>109</v>
      </c>
      <c r="O18" t="s">
        <v>102</v>
      </c>
      <c r="P18" t="s">
        <v>103</v>
      </c>
      <c r="Q18">
        <v>560001</v>
      </c>
      <c r="R18" t="s">
        <v>21</v>
      </c>
      <c r="U18">
        <v>30000</v>
      </c>
      <c r="V18">
        <v>285.60000000000002</v>
      </c>
      <c r="W18">
        <v>332.4384</v>
      </c>
      <c r="X18">
        <v>220</v>
      </c>
      <c r="Y18">
        <v>0</v>
      </c>
      <c r="Z18">
        <v>0</v>
      </c>
      <c r="AA18">
        <v>73136.448000000004</v>
      </c>
    </row>
    <row r="19" spans="1:27">
      <c r="A19">
        <v>16</v>
      </c>
      <c r="B19" t="s">
        <v>35</v>
      </c>
      <c r="C19" t="s">
        <v>36</v>
      </c>
      <c r="D19" t="s">
        <v>110</v>
      </c>
      <c r="E19" t="s">
        <v>65</v>
      </c>
      <c r="F19" t="s">
        <v>16</v>
      </c>
      <c r="G19">
        <v>15</v>
      </c>
      <c r="H19" t="s">
        <v>18</v>
      </c>
      <c r="I19" t="s">
        <v>98</v>
      </c>
      <c r="J19">
        <v>48.28</v>
      </c>
      <c r="K19" t="s">
        <v>115</v>
      </c>
      <c r="L19" t="s">
        <v>119</v>
      </c>
      <c r="M19" t="s">
        <v>37</v>
      </c>
      <c r="N19" t="s">
        <v>111</v>
      </c>
      <c r="O19" t="s">
        <v>112</v>
      </c>
      <c r="P19" t="s">
        <v>103</v>
      </c>
      <c r="Q19">
        <v>200001</v>
      </c>
      <c r="R19" t="s">
        <v>38</v>
      </c>
      <c r="U19">
        <v>25000</v>
      </c>
      <c r="V19">
        <v>238.00000000000003</v>
      </c>
      <c r="W19">
        <v>277.03200000000004</v>
      </c>
      <c r="X19">
        <v>550</v>
      </c>
      <c r="Y19">
        <v>0</v>
      </c>
      <c r="Z19">
        <v>0</v>
      </c>
      <c r="AA19">
        <v>152367.60000000003</v>
      </c>
    </row>
    <row r="20" spans="1:27">
      <c r="A20">
        <v>17</v>
      </c>
      <c r="B20" t="s">
        <v>35</v>
      </c>
      <c r="C20" t="s">
        <v>36</v>
      </c>
      <c r="D20" t="s">
        <v>110</v>
      </c>
      <c r="E20" t="s">
        <v>65</v>
      </c>
      <c r="F20" t="s">
        <v>23</v>
      </c>
      <c r="G20">
        <v>20</v>
      </c>
      <c r="H20" t="s">
        <v>25</v>
      </c>
      <c r="I20" t="s">
        <v>104</v>
      </c>
      <c r="J20">
        <v>40</v>
      </c>
      <c r="K20" t="s">
        <v>99</v>
      </c>
      <c r="L20" t="s">
        <v>105</v>
      </c>
      <c r="M20" t="s">
        <v>40</v>
      </c>
      <c r="N20" t="s">
        <v>113</v>
      </c>
      <c r="O20" t="s">
        <v>112</v>
      </c>
      <c r="P20" t="s">
        <v>103</v>
      </c>
      <c r="Q20">
        <v>200001</v>
      </c>
      <c r="R20" t="s">
        <v>38</v>
      </c>
      <c r="U20">
        <v>22000</v>
      </c>
      <c r="V20">
        <v>209.44000000000003</v>
      </c>
      <c r="W20">
        <v>243.78816</v>
      </c>
      <c r="X20">
        <v>1200</v>
      </c>
      <c r="Y20">
        <v>0</v>
      </c>
      <c r="Z20">
        <v>0</v>
      </c>
      <c r="AA20">
        <v>292545.79200000002</v>
      </c>
    </row>
    <row r="21" spans="1:27">
      <c r="A21">
        <v>18</v>
      </c>
      <c r="B21" t="s">
        <v>35</v>
      </c>
      <c r="C21" t="s">
        <v>36</v>
      </c>
      <c r="D21" t="s">
        <v>110</v>
      </c>
      <c r="E21" t="s">
        <v>65</v>
      </c>
      <c r="F21" t="s">
        <v>29</v>
      </c>
      <c r="G21">
        <v>18</v>
      </c>
      <c r="H21" t="s">
        <v>31</v>
      </c>
      <c r="I21" t="s">
        <v>107</v>
      </c>
      <c r="J21">
        <v>25</v>
      </c>
      <c r="K21" t="s">
        <v>99</v>
      </c>
      <c r="L21" t="s">
        <v>108</v>
      </c>
      <c r="M21" t="s">
        <v>43</v>
      </c>
      <c r="N21" t="s">
        <v>117</v>
      </c>
      <c r="O21" t="s">
        <v>112</v>
      </c>
      <c r="P21" t="s">
        <v>103</v>
      </c>
      <c r="Q21">
        <v>200001</v>
      </c>
      <c r="R21" t="s">
        <v>38</v>
      </c>
      <c r="T21">
        <v>5000</v>
      </c>
      <c r="V21">
        <v>27.31</v>
      </c>
      <c r="W21">
        <v>31.788839999999997</v>
      </c>
      <c r="X21">
        <v>850</v>
      </c>
      <c r="Y21">
        <v>0</v>
      </c>
      <c r="Z21">
        <v>0</v>
      </c>
      <c r="AA21">
        <v>27020.513999999996</v>
      </c>
    </row>
    <row r="22" spans="1:27">
      <c r="A22">
        <v>19</v>
      </c>
      <c r="B22" t="s">
        <v>45</v>
      </c>
      <c r="C22" t="s">
        <v>46</v>
      </c>
      <c r="D22" t="s">
        <v>123</v>
      </c>
      <c r="E22" t="s">
        <v>65</v>
      </c>
      <c r="F22" t="s">
        <v>16</v>
      </c>
      <c r="G22">
        <v>15</v>
      </c>
      <c r="H22" t="s">
        <v>18</v>
      </c>
      <c r="I22" t="s">
        <v>98</v>
      </c>
      <c r="J22">
        <v>30</v>
      </c>
      <c r="K22" t="s">
        <v>99</v>
      </c>
      <c r="L22" t="s">
        <v>100</v>
      </c>
      <c r="M22" t="s">
        <v>48</v>
      </c>
      <c r="N22" t="s">
        <v>124</v>
      </c>
      <c r="O22" t="s">
        <v>125</v>
      </c>
      <c r="P22" t="s">
        <v>126</v>
      </c>
      <c r="Q22">
        <v>20095</v>
      </c>
      <c r="R22" t="s">
        <v>49</v>
      </c>
      <c r="T22">
        <v>3500</v>
      </c>
      <c r="V22">
        <v>19.117000000000001</v>
      </c>
      <c r="W22">
        <v>22.252188</v>
      </c>
      <c r="X22">
        <v>130</v>
      </c>
      <c r="Y22">
        <v>0</v>
      </c>
      <c r="Z22">
        <v>0</v>
      </c>
      <c r="AA22">
        <v>2892.7844399999999</v>
      </c>
    </row>
    <row r="23" spans="1:27">
      <c r="A23">
        <v>20</v>
      </c>
      <c r="B23" t="s">
        <v>45</v>
      </c>
      <c r="C23" t="s">
        <v>46</v>
      </c>
      <c r="D23" t="s">
        <v>123</v>
      </c>
      <c r="E23" t="s">
        <v>65</v>
      </c>
      <c r="F23" t="s">
        <v>23</v>
      </c>
      <c r="G23">
        <v>20</v>
      </c>
      <c r="H23" t="s">
        <v>25</v>
      </c>
      <c r="I23" t="s">
        <v>104</v>
      </c>
      <c r="J23">
        <v>40</v>
      </c>
      <c r="K23" t="s">
        <v>99</v>
      </c>
      <c r="L23" t="s">
        <v>105</v>
      </c>
      <c r="M23" t="s">
        <v>51</v>
      </c>
      <c r="N23" t="s">
        <v>127</v>
      </c>
      <c r="O23" t="s">
        <v>125</v>
      </c>
      <c r="P23" t="s">
        <v>126</v>
      </c>
      <c r="Q23">
        <v>20095</v>
      </c>
      <c r="R23" t="s">
        <v>49</v>
      </c>
      <c r="T23">
        <v>3500</v>
      </c>
      <c r="V23">
        <v>19.117000000000001</v>
      </c>
      <c r="W23">
        <v>22.252188</v>
      </c>
      <c r="X23">
        <v>220</v>
      </c>
      <c r="Y23">
        <v>0</v>
      </c>
      <c r="Z23">
        <v>0</v>
      </c>
      <c r="AA23">
        <v>4895.4813599999998</v>
      </c>
    </row>
    <row r="24" spans="1:27">
      <c r="A24">
        <v>21</v>
      </c>
      <c r="B24" t="s">
        <v>45</v>
      </c>
      <c r="C24" t="s">
        <v>46</v>
      </c>
      <c r="D24" t="s">
        <v>123</v>
      </c>
      <c r="E24" t="s">
        <v>65</v>
      </c>
      <c r="F24" t="s">
        <v>29</v>
      </c>
      <c r="G24">
        <v>18</v>
      </c>
      <c r="H24" t="s">
        <v>31</v>
      </c>
      <c r="I24" t="s">
        <v>107</v>
      </c>
      <c r="J24">
        <v>25</v>
      </c>
      <c r="K24" t="s">
        <v>99</v>
      </c>
      <c r="L24" t="s">
        <v>108</v>
      </c>
      <c r="M24" t="s">
        <v>53</v>
      </c>
      <c r="N24" t="s">
        <v>128</v>
      </c>
      <c r="O24" t="s">
        <v>125</v>
      </c>
      <c r="P24" t="s">
        <v>126</v>
      </c>
      <c r="Q24">
        <v>20095</v>
      </c>
      <c r="R24" t="s">
        <v>49</v>
      </c>
      <c r="T24">
        <v>4200</v>
      </c>
      <c r="V24">
        <v>22.9404</v>
      </c>
      <c r="W24">
        <v>26.702625599999998</v>
      </c>
      <c r="X24">
        <v>160</v>
      </c>
      <c r="Y24">
        <v>0</v>
      </c>
      <c r="Z24">
        <v>0</v>
      </c>
      <c r="AA24">
        <v>4272.4200959999998</v>
      </c>
    </row>
    <row r="25" spans="1:27">
      <c r="A25">
        <v>22</v>
      </c>
      <c r="B25" t="s">
        <v>55</v>
      </c>
      <c r="C25" t="s">
        <v>56</v>
      </c>
      <c r="D25" t="s">
        <v>129</v>
      </c>
      <c r="E25" t="s">
        <v>65</v>
      </c>
      <c r="F25" t="s">
        <v>16</v>
      </c>
      <c r="G25">
        <v>15</v>
      </c>
      <c r="H25" t="s">
        <v>18</v>
      </c>
      <c r="I25" t="s">
        <v>98</v>
      </c>
      <c r="J25">
        <v>30</v>
      </c>
      <c r="K25" t="s">
        <v>99</v>
      </c>
      <c r="L25" t="s">
        <v>100</v>
      </c>
      <c r="M25" t="s">
        <v>57</v>
      </c>
      <c r="N25" t="s">
        <v>130</v>
      </c>
      <c r="O25" t="s">
        <v>131</v>
      </c>
      <c r="P25" t="s">
        <v>126</v>
      </c>
      <c r="Q25">
        <v>75005</v>
      </c>
      <c r="R25" t="s">
        <v>58</v>
      </c>
      <c r="S25">
        <v>1000</v>
      </c>
      <c r="V25">
        <v>1000</v>
      </c>
      <c r="W25">
        <v>1164</v>
      </c>
      <c r="X25">
        <v>110</v>
      </c>
      <c r="Y25">
        <v>0</v>
      </c>
      <c r="Z25">
        <v>0</v>
      </c>
      <c r="AA25">
        <v>128040</v>
      </c>
    </row>
    <row r="26" spans="1:27">
      <c r="A26">
        <v>23</v>
      </c>
      <c r="B26" t="s">
        <v>55</v>
      </c>
      <c r="C26" t="s">
        <v>56</v>
      </c>
      <c r="D26" t="s">
        <v>129</v>
      </c>
      <c r="E26" t="s">
        <v>65</v>
      </c>
      <c r="F26" t="s">
        <v>23</v>
      </c>
      <c r="G26">
        <v>20</v>
      </c>
      <c r="H26" t="s">
        <v>25</v>
      </c>
      <c r="I26" t="s">
        <v>104</v>
      </c>
      <c r="J26">
        <v>40</v>
      </c>
      <c r="K26" t="s">
        <v>99</v>
      </c>
      <c r="L26" t="s">
        <v>105</v>
      </c>
      <c r="M26" t="s">
        <v>61</v>
      </c>
      <c r="N26" t="s">
        <v>132</v>
      </c>
      <c r="O26" t="s">
        <v>131</v>
      </c>
      <c r="P26" t="s">
        <v>126</v>
      </c>
      <c r="Q26">
        <v>75005</v>
      </c>
      <c r="R26" t="s">
        <v>58</v>
      </c>
      <c r="S26">
        <v>800</v>
      </c>
      <c r="V26">
        <v>800</v>
      </c>
      <c r="W26">
        <v>931.19999999999993</v>
      </c>
      <c r="X26">
        <v>260</v>
      </c>
      <c r="Y26">
        <v>0</v>
      </c>
      <c r="Z26">
        <v>0</v>
      </c>
      <c r="AA26">
        <v>242111.99999999997</v>
      </c>
    </row>
    <row r="27" spans="1:27">
      <c r="A27">
        <v>24</v>
      </c>
      <c r="B27" t="s">
        <v>55</v>
      </c>
      <c r="C27" t="s">
        <v>56</v>
      </c>
      <c r="D27" t="s">
        <v>129</v>
      </c>
      <c r="E27" t="s">
        <v>65</v>
      </c>
      <c r="F27" t="s">
        <v>29</v>
      </c>
      <c r="G27">
        <v>18</v>
      </c>
      <c r="H27" t="s">
        <v>31</v>
      </c>
      <c r="I27" t="s">
        <v>107</v>
      </c>
      <c r="J27">
        <v>40.229999999999997</v>
      </c>
      <c r="K27" t="s">
        <v>115</v>
      </c>
      <c r="L27" t="s">
        <v>116</v>
      </c>
      <c r="M27" t="s">
        <v>63</v>
      </c>
      <c r="N27" t="s">
        <v>133</v>
      </c>
      <c r="O27" t="s">
        <v>131</v>
      </c>
      <c r="P27" t="s">
        <v>126</v>
      </c>
      <c r="Q27">
        <v>75005</v>
      </c>
      <c r="R27" t="s">
        <v>58</v>
      </c>
      <c r="S27">
        <v>950</v>
      </c>
      <c r="V27">
        <v>950</v>
      </c>
      <c r="W27">
        <v>1105.8</v>
      </c>
      <c r="X27">
        <v>200</v>
      </c>
      <c r="Y27">
        <v>0</v>
      </c>
      <c r="Z27">
        <v>0</v>
      </c>
      <c r="AA27">
        <v>221160</v>
      </c>
    </row>
    <row r="28" spans="1:27">
      <c r="A28">
        <v>25</v>
      </c>
      <c r="B28" t="s">
        <v>13</v>
      </c>
      <c r="C28" t="s">
        <v>14</v>
      </c>
      <c r="D28" t="s">
        <v>97</v>
      </c>
      <c r="E28" t="s">
        <v>66</v>
      </c>
      <c r="F28" t="s">
        <v>16</v>
      </c>
      <c r="G28">
        <v>15</v>
      </c>
      <c r="H28" t="s">
        <v>18</v>
      </c>
      <c r="I28" t="s">
        <v>98</v>
      </c>
      <c r="J28">
        <v>30</v>
      </c>
      <c r="K28" t="s">
        <v>99</v>
      </c>
      <c r="L28" t="s">
        <v>100</v>
      </c>
      <c r="M28" t="s">
        <v>20</v>
      </c>
      <c r="N28" t="s">
        <v>101</v>
      </c>
      <c r="O28" t="s">
        <v>102</v>
      </c>
      <c r="P28" t="s">
        <v>103</v>
      </c>
      <c r="Q28">
        <v>560001</v>
      </c>
      <c r="R28" t="s">
        <v>21</v>
      </c>
      <c r="S28">
        <v>1100</v>
      </c>
      <c r="V28">
        <v>1100</v>
      </c>
      <c r="W28">
        <v>1280.3999999999999</v>
      </c>
      <c r="X28">
        <v>160</v>
      </c>
      <c r="Y28">
        <v>0</v>
      </c>
      <c r="Z28">
        <v>0</v>
      </c>
      <c r="AA28">
        <v>204863.99999999997</v>
      </c>
    </row>
    <row r="29" spans="1:27">
      <c r="A29">
        <v>26</v>
      </c>
      <c r="B29" t="s">
        <v>13</v>
      </c>
      <c r="C29" t="s">
        <v>14</v>
      </c>
      <c r="D29" t="s">
        <v>97</v>
      </c>
      <c r="E29" t="s">
        <v>66</v>
      </c>
      <c r="F29" t="s">
        <v>23</v>
      </c>
      <c r="G29">
        <v>17.515000000000001</v>
      </c>
      <c r="H29" t="s">
        <v>25</v>
      </c>
      <c r="I29" t="s">
        <v>118</v>
      </c>
      <c r="J29">
        <v>40</v>
      </c>
      <c r="K29" t="s">
        <v>99</v>
      </c>
      <c r="L29" t="s">
        <v>105</v>
      </c>
      <c r="M29" t="s">
        <v>27</v>
      </c>
      <c r="N29" t="s">
        <v>106</v>
      </c>
      <c r="O29" t="s">
        <v>102</v>
      </c>
      <c r="P29" t="s">
        <v>103</v>
      </c>
      <c r="Q29">
        <v>560001</v>
      </c>
      <c r="R29" t="s">
        <v>21</v>
      </c>
      <c r="S29">
        <v>900</v>
      </c>
      <c r="V29">
        <v>900</v>
      </c>
      <c r="W29">
        <v>1047.5999999999999</v>
      </c>
      <c r="X29">
        <v>350</v>
      </c>
      <c r="Y29">
        <v>0</v>
      </c>
      <c r="Z29">
        <v>0</v>
      </c>
      <c r="AA29">
        <v>366659.99999999994</v>
      </c>
    </row>
    <row r="30" spans="1:27">
      <c r="A30">
        <v>27</v>
      </c>
      <c r="B30" t="s">
        <v>13</v>
      </c>
      <c r="C30" t="s">
        <v>14</v>
      </c>
      <c r="D30" t="s">
        <v>97</v>
      </c>
      <c r="E30" t="s">
        <v>66</v>
      </c>
      <c r="F30" t="s">
        <v>29</v>
      </c>
      <c r="G30">
        <v>18</v>
      </c>
      <c r="H30" t="s">
        <v>31</v>
      </c>
      <c r="I30" t="s">
        <v>107</v>
      </c>
      <c r="J30">
        <v>25</v>
      </c>
      <c r="K30" t="s">
        <v>99</v>
      </c>
      <c r="L30" t="s">
        <v>108</v>
      </c>
      <c r="M30" t="s">
        <v>33</v>
      </c>
      <c r="N30" t="s">
        <v>109</v>
      </c>
      <c r="O30" t="s">
        <v>102</v>
      </c>
      <c r="P30" t="s">
        <v>103</v>
      </c>
      <c r="Q30">
        <v>560001</v>
      </c>
      <c r="R30" t="s">
        <v>21</v>
      </c>
      <c r="S30">
        <v>900</v>
      </c>
      <c r="V30">
        <v>900</v>
      </c>
      <c r="W30">
        <v>1047.5999999999999</v>
      </c>
      <c r="X30">
        <v>220</v>
      </c>
      <c r="Y30">
        <v>0</v>
      </c>
      <c r="Z30">
        <v>0</v>
      </c>
      <c r="AA30">
        <v>230471.99999999997</v>
      </c>
    </row>
    <row r="31" spans="1:27">
      <c r="A31">
        <v>28</v>
      </c>
      <c r="B31" t="s">
        <v>35</v>
      </c>
      <c r="C31" t="s">
        <v>36</v>
      </c>
      <c r="D31" t="s">
        <v>110</v>
      </c>
      <c r="E31" t="s">
        <v>66</v>
      </c>
      <c r="F31" t="s">
        <v>16</v>
      </c>
      <c r="G31">
        <v>15</v>
      </c>
      <c r="H31" t="s">
        <v>18</v>
      </c>
      <c r="I31" t="s">
        <v>98</v>
      </c>
      <c r="J31">
        <v>30</v>
      </c>
      <c r="K31" t="s">
        <v>99</v>
      </c>
      <c r="L31" t="s">
        <v>100</v>
      </c>
      <c r="M31" t="s">
        <v>37</v>
      </c>
      <c r="N31" t="s">
        <v>111</v>
      </c>
      <c r="O31" t="s">
        <v>112</v>
      </c>
      <c r="P31" t="s">
        <v>103</v>
      </c>
      <c r="Q31">
        <v>200001</v>
      </c>
      <c r="R31" t="s">
        <v>38</v>
      </c>
      <c r="S31">
        <v>1050</v>
      </c>
      <c r="V31">
        <v>1050</v>
      </c>
      <c r="W31">
        <v>1222.1999999999998</v>
      </c>
      <c r="X31">
        <v>550</v>
      </c>
      <c r="Y31">
        <v>0</v>
      </c>
      <c r="Z31">
        <v>0</v>
      </c>
      <c r="AA31">
        <v>672209.99999999988</v>
      </c>
    </row>
    <row r="32" spans="1:27">
      <c r="A32">
        <v>29</v>
      </c>
      <c r="B32" t="s">
        <v>35</v>
      </c>
      <c r="C32" t="s">
        <v>36</v>
      </c>
      <c r="D32" t="s">
        <v>110</v>
      </c>
      <c r="E32" t="s">
        <v>66</v>
      </c>
      <c r="F32" t="s">
        <v>23</v>
      </c>
      <c r="G32">
        <v>20</v>
      </c>
      <c r="H32" t="s">
        <v>25</v>
      </c>
      <c r="I32" t="s">
        <v>104</v>
      </c>
      <c r="J32">
        <v>64.37</v>
      </c>
      <c r="K32" t="s">
        <v>115</v>
      </c>
      <c r="L32" t="s">
        <v>120</v>
      </c>
      <c r="M32" t="s">
        <v>40</v>
      </c>
      <c r="N32" t="s">
        <v>113</v>
      </c>
      <c r="O32" t="s">
        <v>112</v>
      </c>
      <c r="P32" t="s">
        <v>103</v>
      </c>
      <c r="Q32">
        <v>200001</v>
      </c>
      <c r="R32" t="s">
        <v>38</v>
      </c>
      <c r="U32">
        <v>30000</v>
      </c>
      <c r="V32">
        <v>285.60000000000002</v>
      </c>
      <c r="W32">
        <v>332.4384</v>
      </c>
      <c r="X32">
        <v>1200</v>
      </c>
      <c r="Y32">
        <v>0</v>
      </c>
      <c r="Z32">
        <v>0</v>
      </c>
      <c r="AA32">
        <v>398926.08000000002</v>
      </c>
    </row>
    <row r="33" spans="1:27">
      <c r="A33">
        <v>30</v>
      </c>
      <c r="B33" t="s">
        <v>35</v>
      </c>
      <c r="C33" t="s">
        <v>36</v>
      </c>
      <c r="D33" t="s">
        <v>110</v>
      </c>
      <c r="E33" t="s">
        <v>66</v>
      </c>
      <c r="F33" t="s">
        <v>29</v>
      </c>
      <c r="G33">
        <v>18</v>
      </c>
      <c r="H33" t="s">
        <v>31</v>
      </c>
      <c r="I33" t="s">
        <v>107</v>
      </c>
      <c r="J33">
        <v>25</v>
      </c>
      <c r="K33" t="s">
        <v>99</v>
      </c>
      <c r="L33" t="s">
        <v>108</v>
      </c>
      <c r="M33" t="s">
        <v>43</v>
      </c>
      <c r="N33" t="s">
        <v>117</v>
      </c>
      <c r="O33" t="s">
        <v>112</v>
      </c>
      <c r="P33" t="s">
        <v>103</v>
      </c>
      <c r="Q33">
        <v>200001</v>
      </c>
      <c r="R33" t="s">
        <v>38</v>
      </c>
      <c r="U33">
        <v>25000</v>
      </c>
      <c r="V33">
        <v>238.00000000000003</v>
      </c>
      <c r="W33">
        <v>277.03200000000004</v>
      </c>
      <c r="X33">
        <v>850</v>
      </c>
      <c r="Y33">
        <v>0</v>
      </c>
      <c r="Z33">
        <v>0</v>
      </c>
      <c r="AA33">
        <v>235477.20000000004</v>
      </c>
    </row>
    <row r="34" spans="1:27">
      <c r="A34">
        <v>31</v>
      </c>
      <c r="B34" t="s">
        <v>45</v>
      </c>
      <c r="C34" t="s">
        <v>46</v>
      </c>
      <c r="D34" t="s">
        <v>123</v>
      </c>
      <c r="E34" t="s">
        <v>66</v>
      </c>
      <c r="F34" t="s">
        <v>16</v>
      </c>
      <c r="G34">
        <v>15</v>
      </c>
      <c r="H34" t="s">
        <v>18</v>
      </c>
      <c r="I34" t="s">
        <v>98</v>
      </c>
      <c r="J34">
        <v>30</v>
      </c>
      <c r="K34" t="s">
        <v>99</v>
      </c>
      <c r="L34" t="s">
        <v>100</v>
      </c>
      <c r="M34" t="s">
        <v>48</v>
      </c>
      <c r="N34" t="s">
        <v>124</v>
      </c>
      <c r="O34" t="s">
        <v>125</v>
      </c>
      <c r="P34" t="s">
        <v>126</v>
      </c>
      <c r="Q34">
        <v>20095</v>
      </c>
      <c r="R34" t="s">
        <v>49</v>
      </c>
      <c r="U34">
        <v>22000</v>
      </c>
      <c r="V34">
        <v>209.44000000000003</v>
      </c>
      <c r="W34">
        <v>243.78816</v>
      </c>
      <c r="X34">
        <v>130</v>
      </c>
      <c r="Y34">
        <v>0</v>
      </c>
      <c r="Z34">
        <v>0</v>
      </c>
      <c r="AA34">
        <v>31692.460800000001</v>
      </c>
    </row>
    <row r="35" spans="1:27">
      <c r="A35">
        <v>32</v>
      </c>
      <c r="B35" t="s">
        <v>45</v>
      </c>
      <c r="C35" t="s">
        <v>46</v>
      </c>
      <c r="D35" t="s">
        <v>123</v>
      </c>
      <c r="E35" t="s">
        <v>66</v>
      </c>
      <c r="F35" t="s">
        <v>23</v>
      </c>
      <c r="G35">
        <v>20</v>
      </c>
      <c r="H35" t="s">
        <v>25</v>
      </c>
      <c r="I35" t="s">
        <v>104</v>
      </c>
      <c r="J35">
        <v>40</v>
      </c>
      <c r="K35" t="s">
        <v>99</v>
      </c>
      <c r="L35" t="s">
        <v>105</v>
      </c>
      <c r="M35" t="s">
        <v>51</v>
      </c>
      <c r="N35" t="s">
        <v>127</v>
      </c>
      <c r="O35" t="s">
        <v>125</v>
      </c>
      <c r="P35" t="s">
        <v>126</v>
      </c>
      <c r="Q35">
        <v>20095</v>
      </c>
      <c r="R35" t="s">
        <v>49</v>
      </c>
      <c r="T35">
        <v>5000</v>
      </c>
      <c r="V35">
        <v>27.31</v>
      </c>
      <c r="W35">
        <v>31.788839999999997</v>
      </c>
      <c r="X35">
        <v>220</v>
      </c>
      <c r="Y35">
        <v>0</v>
      </c>
      <c r="Z35">
        <v>0</v>
      </c>
      <c r="AA35">
        <v>6993.5447999999997</v>
      </c>
    </row>
    <row r="36" spans="1:27">
      <c r="A36">
        <v>33</v>
      </c>
      <c r="B36" t="s">
        <v>45</v>
      </c>
      <c r="C36" t="s">
        <v>46</v>
      </c>
      <c r="D36" t="s">
        <v>123</v>
      </c>
      <c r="E36" t="s">
        <v>66</v>
      </c>
      <c r="F36" t="s">
        <v>29</v>
      </c>
      <c r="G36">
        <v>18</v>
      </c>
      <c r="H36" t="s">
        <v>31</v>
      </c>
      <c r="I36" t="s">
        <v>107</v>
      </c>
      <c r="J36">
        <v>25</v>
      </c>
      <c r="K36" t="s">
        <v>99</v>
      </c>
      <c r="L36" t="s">
        <v>108</v>
      </c>
      <c r="M36" t="s">
        <v>53</v>
      </c>
      <c r="N36" t="s">
        <v>128</v>
      </c>
      <c r="O36" t="s">
        <v>125</v>
      </c>
      <c r="P36" t="s">
        <v>126</v>
      </c>
      <c r="Q36">
        <v>20095</v>
      </c>
      <c r="R36" t="s">
        <v>49</v>
      </c>
      <c r="T36">
        <v>3500</v>
      </c>
      <c r="V36">
        <v>19.117000000000001</v>
      </c>
      <c r="W36">
        <v>22.252188</v>
      </c>
      <c r="X36">
        <v>160</v>
      </c>
      <c r="Y36">
        <v>0</v>
      </c>
      <c r="Z36">
        <v>0</v>
      </c>
      <c r="AA36">
        <v>3560.3500800000002</v>
      </c>
    </row>
    <row r="37" spans="1:27">
      <c r="A37">
        <v>34</v>
      </c>
      <c r="B37" t="s">
        <v>55</v>
      </c>
      <c r="C37" t="s">
        <v>56</v>
      </c>
      <c r="D37" t="s">
        <v>129</v>
      </c>
      <c r="E37" t="s">
        <v>66</v>
      </c>
      <c r="F37" t="s">
        <v>16</v>
      </c>
      <c r="G37">
        <v>15</v>
      </c>
      <c r="H37" t="s">
        <v>18</v>
      </c>
      <c r="I37" t="s">
        <v>98</v>
      </c>
      <c r="J37">
        <v>48.28</v>
      </c>
      <c r="K37" t="s">
        <v>115</v>
      </c>
      <c r="L37" t="s">
        <v>119</v>
      </c>
      <c r="M37" t="s">
        <v>57</v>
      </c>
      <c r="N37" t="s">
        <v>130</v>
      </c>
      <c r="O37" t="s">
        <v>131</v>
      </c>
      <c r="P37" t="s">
        <v>126</v>
      </c>
      <c r="Q37">
        <v>75005</v>
      </c>
      <c r="R37" t="s">
        <v>58</v>
      </c>
      <c r="T37">
        <v>4200</v>
      </c>
      <c r="V37">
        <v>22.9404</v>
      </c>
      <c r="W37">
        <v>26.702625599999998</v>
      </c>
      <c r="X37">
        <v>110</v>
      </c>
      <c r="Y37">
        <v>0</v>
      </c>
      <c r="Z37">
        <v>0</v>
      </c>
      <c r="AA37">
        <v>2937.2888159999998</v>
      </c>
    </row>
    <row r="38" spans="1:27">
      <c r="A38">
        <v>35</v>
      </c>
      <c r="B38" t="s">
        <v>55</v>
      </c>
      <c r="C38" t="s">
        <v>56</v>
      </c>
      <c r="D38" t="s">
        <v>129</v>
      </c>
      <c r="E38" t="s">
        <v>66</v>
      </c>
      <c r="F38" t="s">
        <v>23</v>
      </c>
      <c r="G38">
        <v>20</v>
      </c>
      <c r="H38" t="s">
        <v>25</v>
      </c>
      <c r="I38" t="s">
        <v>104</v>
      </c>
      <c r="J38">
        <v>40</v>
      </c>
      <c r="K38" t="s">
        <v>99</v>
      </c>
      <c r="L38" t="s">
        <v>105</v>
      </c>
      <c r="M38" t="s">
        <v>61</v>
      </c>
      <c r="N38" t="s">
        <v>132</v>
      </c>
      <c r="O38" t="s">
        <v>131</v>
      </c>
      <c r="P38" t="s">
        <v>126</v>
      </c>
      <c r="Q38">
        <v>75005</v>
      </c>
      <c r="R38" t="s">
        <v>58</v>
      </c>
      <c r="T38">
        <v>4200</v>
      </c>
      <c r="V38">
        <v>22.9404</v>
      </c>
      <c r="W38">
        <v>26.702625599999998</v>
      </c>
      <c r="X38">
        <v>260</v>
      </c>
      <c r="Y38">
        <v>0</v>
      </c>
      <c r="Z38">
        <v>0</v>
      </c>
      <c r="AA38">
        <v>6942.682655999999</v>
      </c>
    </row>
    <row r="39" spans="1:27">
      <c r="A39">
        <v>36</v>
      </c>
      <c r="B39" t="s">
        <v>55</v>
      </c>
      <c r="C39" t="s">
        <v>56</v>
      </c>
      <c r="D39" t="s">
        <v>129</v>
      </c>
      <c r="E39" t="s">
        <v>66</v>
      </c>
      <c r="F39" t="s">
        <v>29</v>
      </c>
      <c r="G39">
        <v>18</v>
      </c>
      <c r="H39" t="s">
        <v>31</v>
      </c>
      <c r="I39" t="s">
        <v>107</v>
      </c>
      <c r="J39">
        <v>25</v>
      </c>
      <c r="K39" t="s">
        <v>99</v>
      </c>
      <c r="L39" t="s">
        <v>108</v>
      </c>
      <c r="M39" t="s">
        <v>63</v>
      </c>
      <c r="N39" t="s">
        <v>133</v>
      </c>
      <c r="O39" t="s">
        <v>131</v>
      </c>
      <c r="P39" t="s">
        <v>126</v>
      </c>
      <c r="Q39">
        <v>75005</v>
      </c>
      <c r="R39" t="s">
        <v>58</v>
      </c>
      <c r="S39">
        <v>1000</v>
      </c>
      <c r="V39">
        <v>1000</v>
      </c>
      <c r="W39">
        <v>1164</v>
      </c>
      <c r="X39">
        <v>200</v>
      </c>
      <c r="Y39">
        <v>0</v>
      </c>
      <c r="Z39">
        <v>0</v>
      </c>
      <c r="AA39">
        <v>232800</v>
      </c>
    </row>
    <row r="40" spans="1:27">
      <c r="A40">
        <v>37</v>
      </c>
      <c r="B40" t="s">
        <v>13</v>
      </c>
      <c r="C40" t="s">
        <v>14</v>
      </c>
      <c r="D40" t="s">
        <v>97</v>
      </c>
      <c r="E40" t="s">
        <v>67</v>
      </c>
      <c r="F40" t="s">
        <v>16</v>
      </c>
      <c r="G40">
        <v>15</v>
      </c>
      <c r="H40" t="s">
        <v>18</v>
      </c>
      <c r="I40" t="s">
        <v>98</v>
      </c>
      <c r="J40">
        <v>30</v>
      </c>
      <c r="K40" t="s">
        <v>99</v>
      </c>
      <c r="L40" t="s">
        <v>100</v>
      </c>
      <c r="M40" t="s">
        <v>20</v>
      </c>
      <c r="N40" t="s">
        <v>101</v>
      </c>
      <c r="O40" t="s">
        <v>102</v>
      </c>
      <c r="P40" t="s">
        <v>103</v>
      </c>
      <c r="Q40">
        <v>560001</v>
      </c>
      <c r="R40" t="s">
        <v>21</v>
      </c>
      <c r="S40">
        <v>800</v>
      </c>
      <c r="V40">
        <v>800</v>
      </c>
      <c r="W40">
        <v>931.19999999999993</v>
      </c>
      <c r="X40">
        <v>200</v>
      </c>
      <c r="Y40">
        <v>0</v>
      </c>
      <c r="Z40">
        <v>0</v>
      </c>
      <c r="AA40">
        <v>186240</v>
      </c>
    </row>
    <row r="41" spans="1:27">
      <c r="A41">
        <v>38</v>
      </c>
      <c r="B41" t="s">
        <v>13</v>
      </c>
      <c r="C41" t="s">
        <v>14</v>
      </c>
      <c r="D41" t="s">
        <v>97</v>
      </c>
      <c r="E41" t="s">
        <v>67</v>
      </c>
      <c r="F41" t="s">
        <v>23</v>
      </c>
      <c r="G41">
        <v>20</v>
      </c>
      <c r="H41" t="s">
        <v>25</v>
      </c>
      <c r="I41" t="s">
        <v>104</v>
      </c>
      <c r="J41">
        <v>40</v>
      </c>
      <c r="K41" t="s">
        <v>99</v>
      </c>
      <c r="L41" t="s">
        <v>105</v>
      </c>
      <c r="M41" t="s">
        <v>27</v>
      </c>
      <c r="N41" t="s">
        <v>106</v>
      </c>
      <c r="O41" t="s">
        <v>102</v>
      </c>
      <c r="P41" t="s">
        <v>103</v>
      </c>
      <c r="Q41">
        <v>560001</v>
      </c>
      <c r="R41" t="s">
        <v>21</v>
      </c>
      <c r="S41">
        <v>950</v>
      </c>
      <c r="V41">
        <v>950</v>
      </c>
      <c r="W41">
        <v>1105.8</v>
      </c>
      <c r="X41">
        <v>450</v>
      </c>
      <c r="Y41">
        <v>0</v>
      </c>
      <c r="Z41">
        <v>0</v>
      </c>
      <c r="AA41">
        <v>497610</v>
      </c>
    </row>
    <row r="42" spans="1:27">
      <c r="A42">
        <v>39</v>
      </c>
      <c r="B42" t="s">
        <v>13</v>
      </c>
      <c r="C42" t="s">
        <v>14</v>
      </c>
      <c r="D42" t="s">
        <v>97</v>
      </c>
      <c r="E42" t="s">
        <v>67</v>
      </c>
      <c r="F42" t="s">
        <v>29</v>
      </c>
      <c r="G42">
        <v>18</v>
      </c>
      <c r="H42" t="s">
        <v>31</v>
      </c>
      <c r="I42" t="s">
        <v>107</v>
      </c>
      <c r="J42">
        <v>25</v>
      </c>
      <c r="K42" t="s">
        <v>99</v>
      </c>
      <c r="L42" t="s">
        <v>108</v>
      </c>
      <c r="M42" t="s">
        <v>33</v>
      </c>
      <c r="N42" t="s">
        <v>109</v>
      </c>
      <c r="O42" t="s">
        <v>102</v>
      </c>
      <c r="P42" t="s">
        <v>103</v>
      </c>
      <c r="Q42">
        <v>560001</v>
      </c>
      <c r="R42" t="s">
        <v>21</v>
      </c>
      <c r="S42">
        <v>1100</v>
      </c>
      <c r="V42">
        <v>1100</v>
      </c>
      <c r="W42">
        <v>1280.3999999999999</v>
      </c>
      <c r="X42">
        <v>300</v>
      </c>
      <c r="Y42">
        <v>0</v>
      </c>
      <c r="Z42">
        <v>0</v>
      </c>
      <c r="AA42">
        <v>384119.99999999994</v>
      </c>
    </row>
    <row r="43" spans="1:27">
      <c r="A43">
        <v>40</v>
      </c>
      <c r="B43" t="s">
        <v>35</v>
      </c>
      <c r="C43" t="s">
        <v>36</v>
      </c>
      <c r="D43" t="s">
        <v>110</v>
      </c>
      <c r="E43" t="s">
        <v>67</v>
      </c>
      <c r="F43" t="s">
        <v>16</v>
      </c>
      <c r="G43">
        <v>17.515000000000001</v>
      </c>
      <c r="H43" t="s">
        <v>18</v>
      </c>
      <c r="I43" t="s">
        <v>121</v>
      </c>
      <c r="J43">
        <v>30</v>
      </c>
      <c r="K43" t="s">
        <v>99</v>
      </c>
      <c r="L43" t="s">
        <v>100</v>
      </c>
      <c r="M43" t="s">
        <v>37</v>
      </c>
      <c r="N43" t="s">
        <v>111</v>
      </c>
      <c r="O43" t="s">
        <v>112</v>
      </c>
      <c r="P43" t="s">
        <v>103</v>
      </c>
      <c r="Q43">
        <v>200001</v>
      </c>
      <c r="R43" t="s">
        <v>38</v>
      </c>
      <c r="S43">
        <v>900</v>
      </c>
      <c r="V43">
        <v>900</v>
      </c>
      <c r="W43">
        <v>1047.5999999999999</v>
      </c>
      <c r="X43">
        <v>700</v>
      </c>
      <c r="Y43">
        <v>0</v>
      </c>
      <c r="Z43">
        <v>0</v>
      </c>
      <c r="AA43">
        <v>733319.99999999988</v>
      </c>
    </row>
    <row r="44" spans="1:27">
      <c r="A44">
        <v>41</v>
      </c>
      <c r="B44" t="s">
        <v>35</v>
      </c>
      <c r="C44" t="s">
        <v>36</v>
      </c>
      <c r="D44" t="s">
        <v>110</v>
      </c>
      <c r="E44" t="s">
        <v>67</v>
      </c>
      <c r="F44" t="s">
        <v>23</v>
      </c>
      <c r="G44">
        <v>20</v>
      </c>
      <c r="H44" t="s">
        <v>25</v>
      </c>
      <c r="I44" t="s">
        <v>104</v>
      </c>
      <c r="J44">
        <v>40</v>
      </c>
      <c r="K44" t="s">
        <v>99</v>
      </c>
      <c r="L44" t="s">
        <v>105</v>
      </c>
      <c r="M44" t="s">
        <v>40</v>
      </c>
      <c r="N44" t="s">
        <v>113</v>
      </c>
      <c r="O44" t="s">
        <v>112</v>
      </c>
      <c r="P44" t="s">
        <v>103</v>
      </c>
      <c r="Q44">
        <v>200001</v>
      </c>
      <c r="R44" t="s">
        <v>38</v>
      </c>
      <c r="S44">
        <v>1050</v>
      </c>
      <c r="V44">
        <v>1050</v>
      </c>
      <c r="W44">
        <v>1222.1999999999998</v>
      </c>
      <c r="X44">
        <v>1600</v>
      </c>
      <c r="Y44">
        <v>0</v>
      </c>
      <c r="Z44">
        <v>0</v>
      </c>
      <c r="AA44">
        <v>1955519.9999999998</v>
      </c>
    </row>
    <row r="45" spans="1:27">
      <c r="A45">
        <v>42</v>
      </c>
      <c r="B45" t="s">
        <v>35</v>
      </c>
      <c r="C45" t="s">
        <v>36</v>
      </c>
      <c r="D45" t="s">
        <v>110</v>
      </c>
      <c r="E45" t="s">
        <v>67</v>
      </c>
      <c r="F45" t="s">
        <v>29</v>
      </c>
      <c r="G45">
        <v>18</v>
      </c>
      <c r="H45" t="s">
        <v>31</v>
      </c>
      <c r="I45" t="s">
        <v>107</v>
      </c>
      <c r="J45">
        <v>25</v>
      </c>
      <c r="K45" t="s">
        <v>99</v>
      </c>
      <c r="L45" t="s">
        <v>108</v>
      </c>
      <c r="M45" t="s">
        <v>43</v>
      </c>
      <c r="N45" t="s">
        <v>117</v>
      </c>
      <c r="O45" t="s">
        <v>112</v>
      </c>
      <c r="P45" t="s">
        <v>103</v>
      </c>
      <c r="Q45">
        <v>200001</v>
      </c>
      <c r="R45" t="s">
        <v>38</v>
      </c>
      <c r="U45">
        <v>30000</v>
      </c>
      <c r="V45">
        <v>285.60000000000002</v>
      </c>
      <c r="W45">
        <v>332.4384</v>
      </c>
      <c r="X45">
        <v>1000</v>
      </c>
      <c r="Y45">
        <v>0</v>
      </c>
      <c r="Z45">
        <v>0</v>
      </c>
      <c r="AA45">
        <v>332438.40000000002</v>
      </c>
    </row>
    <row r="46" spans="1:27">
      <c r="A46">
        <v>43</v>
      </c>
      <c r="B46" t="s">
        <v>45</v>
      </c>
      <c r="C46" t="s">
        <v>46</v>
      </c>
      <c r="D46" t="s">
        <v>123</v>
      </c>
      <c r="E46" t="s">
        <v>67</v>
      </c>
      <c r="F46" t="s">
        <v>16</v>
      </c>
      <c r="G46">
        <v>15</v>
      </c>
      <c r="H46" t="s">
        <v>18</v>
      </c>
      <c r="I46" t="s">
        <v>98</v>
      </c>
      <c r="J46">
        <v>48.28</v>
      </c>
      <c r="K46" t="s">
        <v>115</v>
      </c>
      <c r="L46" t="s">
        <v>119</v>
      </c>
      <c r="M46" t="s">
        <v>48</v>
      </c>
      <c r="N46" t="s">
        <v>124</v>
      </c>
      <c r="O46" t="s">
        <v>125</v>
      </c>
      <c r="P46" t="s">
        <v>126</v>
      </c>
      <c r="Q46">
        <v>20095</v>
      </c>
      <c r="R46" t="s">
        <v>49</v>
      </c>
      <c r="U46">
        <v>25000</v>
      </c>
      <c r="V46">
        <v>238.00000000000003</v>
      </c>
      <c r="W46">
        <v>277.03200000000004</v>
      </c>
      <c r="X46">
        <v>160</v>
      </c>
      <c r="Y46">
        <v>0</v>
      </c>
      <c r="Z46">
        <v>0</v>
      </c>
      <c r="AA46">
        <v>44325.12000000001</v>
      </c>
    </row>
    <row r="47" spans="1:27">
      <c r="A47">
        <v>44</v>
      </c>
      <c r="B47" t="s">
        <v>45</v>
      </c>
      <c r="C47" t="s">
        <v>46</v>
      </c>
      <c r="D47" t="s">
        <v>123</v>
      </c>
      <c r="E47" t="s">
        <v>67</v>
      </c>
      <c r="F47" t="s">
        <v>23</v>
      </c>
      <c r="G47">
        <v>20</v>
      </c>
      <c r="H47" t="s">
        <v>25</v>
      </c>
      <c r="I47" t="s">
        <v>104</v>
      </c>
      <c r="J47">
        <v>40</v>
      </c>
      <c r="K47" t="s">
        <v>99</v>
      </c>
      <c r="L47" t="s">
        <v>105</v>
      </c>
      <c r="M47" t="s">
        <v>51</v>
      </c>
      <c r="N47" t="s">
        <v>127</v>
      </c>
      <c r="O47" t="s">
        <v>125</v>
      </c>
      <c r="P47" t="s">
        <v>126</v>
      </c>
      <c r="Q47">
        <v>20095</v>
      </c>
      <c r="R47" t="s">
        <v>49</v>
      </c>
      <c r="U47">
        <v>22000</v>
      </c>
      <c r="V47">
        <v>209.44000000000003</v>
      </c>
      <c r="W47">
        <v>243.78816</v>
      </c>
      <c r="X47">
        <v>280</v>
      </c>
      <c r="Y47">
        <v>0</v>
      </c>
      <c r="Z47">
        <v>0</v>
      </c>
      <c r="AA47">
        <v>68260.684800000003</v>
      </c>
    </row>
    <row r="48" spans="1:27">
      <c r="A48">
        <v>45</v>
      </c>
      <c r="B48" t="s">
        <v>45</v>
      </c>
      <c r="C48" t="s">
        <v>46</v>
      </c>
      <c r="D48" t="s">
        <v>123</v>
      </c>
      <c r="E48" t="s">
        <v>67</v>
      </c>
      <c r="F48" t="s">
        <v>29</v>
      </c>
      <c r="G48">
        <v>18</v>
      </c>
      <c r="H48" t="s">
        <v>31</v>
      </c>
      <c r="I48" t="s">
        <v>107</v>
      </c>
      <c r="J48">
        <v>25</v>
      </c>
      <c r="K48" t="s">
        <v>99</v>
      </c>
      <c r="L48" t="s">
        <v>108</v>
      </c>
      <c r="M48" t="s">
        <v>53</v>
      </c>
      <c r="N48" t="s">
        <v>128</v>
      </c>
      <c r="O48" t="s">
        <v>125</v>
      </c>
      <c r="P48" t="s">
        <v>126</v>
      </c>
      <c r="Q48">
        <v>20095</v>
      </c>
      <c r="R48" t="s">
        <v>49</v>
      </c>
      <c r="T48">
        <v>5000</v>
      </c>
      <c r="V48">
        <v>27.31</v>
      </c>
      <c r="W48">
        <v>31.788839999999997</v>
      </c>
      <c r="X48">
        <v>200</v>
      </c>
      <c r="Y48">
        <v>0</v>
      </c>
      <c r="Z48">
        <v>0</v>
      </c>
      <c r="AA48">
        <v>6357.7679999999991</v>
      </c>
    </row>
    <row r="49" spans="1:27">
      <c r="A49">
        <v>46</v>
      </c>
      <c r="B49" t="s">
        <v>55</v>
      </c>
      <c r="C49" t="s">
        <v>56</v>
      </c>
      <c r="D49" t="s">
        <v>129</v>
      </c>
      <c r="E49" t="s">
        <v>67</v>
      </c>
      <c r="F49" t="s">
        <v>16</v>
      </c>
      <c r="G49">
        <v>15</v>
      </c>
      <c r="H49" t="s">
        <v>18</v>
      </c>
      <c r="I49" t="s">
        <v>98</v>
      </c>
      <c r="J49">
        <v>30</v>
      </c>
      <c r="K49" t="s">
        <v>99</v>
      </c>
      <c r="L49" t="s">
        <v>100</v>
      </c>
      <c r="M49" t="s">
        <v>57</v>
      </c>
      <c r="N49" t="s">
        <v>130</v>
      </c>
      <c r="O49" t="s">
        <v>131</v>
      </c>
      <c r="P49" t="s">
        <v>126</v>
      </c>
      <c r="Q49">
        <v>75005</v>
      </c>
      <c r="R49" t="s">
        <v>58</v>
      </c>
      <c r="T49">
        <v>3500</v>
      </c>
      <c r="V49">
        <v>19.117000000000001</v>
      </c>
      <c r="W49">
        <v>22.252188</v>
      </c>
      <c r="X49">
        <v>130</v>
      </c>
      <c r="Y49">
        <v>0</v>
      </c>
      <c r="Z49">
        <v>0</v>
      </c>
      <c r="AA49">
        <v>2892.7844399999999</v>
      </c>
    </row>
    <row r="50" spans="1:27">
      <c r="A50">
        <v>47</v>
      </c>
      <c r="B50" t="s">
        <v>55</v>
      </c>
      <c r="C50" t="s">
        <v>56</v>
      </c>
      <c r="D50" t="s">
        <v>129</v>
      </c>
      <c r="E50" t="s">
        <v>67</v>
      </c>
      <c r="F50" t="s">
        <v>23</v>
      </c>
      <c r="G50">
        <v>20</v>
      </c>
      <c r="H50" t="s">
        <v>25</v>
      </c>
      <c r="I50" t="s">
        <v>104</v>
      </c>
      <c r="J50">
        <v>40</v>
      </c>
      <c r="K50" t="s">
        <v>99</v>
      </c>
      <c r="L50" t="s">
        <v>105</v>
      </c>
      <c r="M50" t="s">
        <v>61</v>
      </c>
      <c r="N50" t="s">
        <v>132</v>
      </c>
      <c r="O50" t="s">
        <v>131</v>
      </c>
      <c r="P50" t="s">
        <v>126</v>
      </c>
      <c r="Q50">
        <v>75005</v>
      </c>
      <c r="R50" t="s">
        <v>58</v>
      </c>
      <c r="T50">
        <v>4200</v>
      </c>
      <c r="V50">
        <v>22.9404</v>
      </c>
      <c r="W50">
        <v>26.702625599999998</v>
      </c>
      <c r="X50">
        <v>300</v>
      </c>
      <c r="Y50">
        <v>0</v>
      </c>
      <c r="Z50">
        <v>0</v>
      </c>
      <c r="AA50">
        <v>8010.7876799999995</v>
      </c>
    </row>
    <row r="51" spans="1:27">
      <c r="A51">
        <v>48</v>
      </c>
      <c r="B51" t="s">
        <v>55</v>
      </c>
      <c r="C51" t="s">
        <v>56</v>
      </c>
      <c r="D51" t="s">
        <v>129</v>
      </c>
      <c r="E51" t="s">
        <v>67</v>
      </c>
      <c r="F51" t="s">
        <v>29</v>
      </c>
      <c r="G51">
        <v>17.515000000000001</v>
      </c>
      <c r="H51" t="s">
        <v>31</v>
      </c>
      <c r="I51" t="s">
        <v>122</v>
      </c>
      <c r="J51">
        <v>40.229999999999997</v>
      </c>
      <c r="K51" t="s">
        <v>115</v>
      </c>
      <c r="L51" t="s">
        <v>116</v>
      </c>
      <c r="M51" t="s">
        <v>63</v>
      </c>
      <c r="N51" t="s">
        <v>133</v>
      </c>
      <c r="O51" t="s">
        <v>131</v>
      </c>
      <c r="P51" t="s">
        <v>126</v>
      </c>
      <c r="Q51">
        <v>75005</v>
      </c>
      <c r="R51" t="s">
        <v>58</v>
      </c>
      <c r="S51">
        <v>1000</v>
      </c>
      <c r="V51">
        <v>1000</v>
      </c>
      <c r="W51">
        <v>1164</v>
      </c>
      <c r="X51">
        <v>230</v>
      </c>
      <c r="Y51">
        <v>0</v>
      </c>
      <c r="Z51">
        <v>0</v>
      </c>
      <c r="AA51">
        <v>267720</v>
      </c>
    </row>
    <row r="52" spans="1:27">
      <c r="A52">
        <v>49</v>
      </c>
      <c r="B52" t="s">
        <v>13</v>
      </c>
      <c r="C52" t="s">
        <v>14</v>
      </c>
      <c r="D52" t="s">
        <v>97</v>
      </c>
      <c r="E52" t="s">
        <v>68</v>
      </c>
      <c r="F52" t="s">
        <v>16</v>
      </c>
      <c r="G52">
        <v>15</v>
      </c>
      <c r="H52" t="s">
        <v>18</v>
      </c>
      <c r="I52" t="s">
        <v>98</v>
      </c>
      <c r="J52">
        <v>30</v>
      </c>
      <c r="K52" t="s">
        <v>99</v>
      </c>
      <c r="L52" t="s">
        <v>100</v>
      </c>
      <c r="M52" t="s">
        <v>20</v>
      </c>
      <c r="N52" t="s">
        <v>101</v>
      </c>
      <c r="O52" t="s">
        <v>102</v>
      </c>
      <c r="P52" t="s">
        <v>103</v>
      </c>
      <c r="Q52">
        <v>560001</v>
      </c>
      <c r="R52" t="s">
        <v>21</v>
      </c>
      <c r="S52">
        <v>1000</v>
      </c>
      <c r="V52">
        <v>1000</v>
      </c>
      <c r="W52">
        <v>1164</v>
      </c>
      <c r="X52">
        <v>200</v>
      </c>
      <c r="Y52">
        <v>0</v>
      </c>
      <c r="Z52">
        <v>0</v>
      </c>
      <c r="AA52">
        <v>232800</v>
      </c>
    </row>
    <row r="53" spans="1:27">
      <c r="A53">
        <v>50</v>
      </c>
      <c r="B53" t="s">
        <v>13</v>
      </c>
      <c r="C53" t="s">
        <v>14</v>
      </c>
      <c r="D53" t="s">
        <v>97</v>
      </c>
      <c r="E53" t="s">
        <v>68</v>
      </c>
      <c r="F53" t="s">
        <v>23</v>
      </c>
      <c r="G53">
        <v>20</v>
      </c>
      <c r="H53" t="s">
        <v>25</v>
      </c>
      <c r="I53" t="s">
        <v>104</v>
      </c>
      <c r="J53">
        <v>40</v>
      </c>
      <c r="K53" t="s">
        <v>99</v>
      </c>
      <c r="L53" t="s">
        <v>105</v>
      </c>
      <c r="M53" t="s">
        <v>27</v>
      </c>
      <c r="N53" t="s">
        <v>106</v>
      </c>
      <c r="O53" t="s">
        <v>102</v>
      </c>
      <c r="P53" t="s">
        <v>103</v>
      </c>
      <c r="Q53">
        <v>560001</v>
      </c>
      <c r="R53" t="s">
        <v>21</v>
      </c>
      <c r="S53">
        <v>800</v>
      </c>
      <c r="V53">
        <v>800</v>
      </c>
      <c r="W53">
        <v>931.19999999999993</v>
      </c>
      <c r="X53">
        <v>450</v>
      </c>
      <c r="Y53">
        <v>0</v>
      </c>
      <c r="Z53">
        <v>0</v>
      </c>
      <c r="AA53">
        <v>419039.99999999994</v>
      </c>
    </row>
    <row r="54" spans="1:27">
      <c r="A54">
        <v>51</v>
      </c>
      <c r="B54" t="s">
        <v>13</v>
      </c>
      <c r="C54" t="s">
        <v>14</v>
      </c>
      <c r="D54" t="s">
        <v>97</v>
      </c>
      <c r="E54" t="s">
        <v>68</v>
      </c>
      <c r="F54" t="s">
        <v>29</v>
      </c>
      <c r="G54">
        <v>18</v>
      </c>
      <c r="H54" t="s">
        <v>31</v>
      </c>
      <c r="I54" t="s">
        <v>107</v>
      </c>
      <c r="J54">
        <v>25</v>
      </c>
      <c r="K54" t="s">
        <v>99</v>
      </c>
      <c r="L54" t="s">
        <v>108</v>
      </c>
      <c r="M54" t="s">
        <v>33</v>
      </c>
      <c r="N54" t="s">
        <v>109</v>
      </c>
      <c r="O54" t="s">
        <v>102</v>
      </c>
      <c r="P54" t="s">
        <v>103</v>
      </c>
      <c r="Q54">
        <v>560001</v>
      </c>
      <c r="R54" t="s">
        <v>21</v>
      </c>
      <c r="S54">
        <v>950</v>
      </c>
      <c r="V54">
        <v>950</v>
      </c>
      <c r="W54">
        <v>1105.8</v>
      </c>
      <c r="X54">
        <v>350</v>
      </c>
      <c r="Y54">
        <v>0</v>
      </c>
      <c r="Z54">
        <v>0</v>
      </c>
      <c r="AA54">
        <v>387030</v>
      </c>
    </row>
    <row r="55" spans="1:27">
      <c r="A55">
        <v>52</v>
      </c>
      <c r="B55" t="s">
        <v>35</v>
      </c>
      <c r="C55" t="s">
        <v>36</v>
      </c>
      <c r="D55" t="s">
        <v>110</v>
      </c>
      <c r="E55" t="s">
        <v>68</v>
      </c>
      <c r="F55" t="s">
        <v>16</v>
      </c>
      <c r="G55">
        <v>15</v>
      </c>
      <c r="H55" t="s">
        <v>18</v>
      </c>
      <c r="I55" t="s">
        <v>98</v>
      </c>
      <c r="J55">
        <v>48.28</v>
      </c>
      <c r="K55" t="s">
        <v>115</v>
      </c>
      <c r="L55" t="s">
        <v>119</v>
      </c>
      <c r="M55" t="s">
        <v>37</v>
      </c>
      <c r="N55" t="s">
        <v>111</v>
      </c>
      <c r="O55" t="s">
        <v>112</v>
      </c>
      <c r="P55" t="s">
        <v>103</v>
      </c>
      <c r="Q55">
        <v>200001</v>
      </c>
      <c r="R55" t="s">
        <v>38</v>
      </c>
      <c r="S55">
        <v>1100</v>
      </c>
      <c r="V55">
        <v>1100</v>
      </c>
      <c r="W55">
        <v>1280.3999999999999</v>
      </c>
      <c r="X55">
        <v>700</v>
      </c>
      <c r="Y55">
        <v>0</v>
      </c>
      <c r="Z55">
        <v>0</v>
      </c>
      <c r="AA55">
        <v>896279.99999999988</v>
      </c>
    </row>
    <row r="56" spans="1:27">
      <c r="A56">
        <v>53</v>
      </c>
      <c r="B56" t="s">
        <v>35</v>
      </c>
      <c r="C56" t="s">
        <v>36</v>
      </c>
      <c r="D56" t="s">
        <v>110</v>
      </c>
      <c r="E56" t="s">
        <v>68</v>
      </c>
      <c r="F56" t="s">
        <v>23</v>
      </c>
      <c r="G56">
        <v>20</v>
      </c>
      <c r="H56" t="s">
        <v>25</v>
      </c>
      <c r="I56" t="s">
        <v>104</v>
      </c>
      <c r="J56">
        <v>40</v>
      </c>
      <c r="K56" t="s">
        <v>99</v>
      </c>
      <c r="L56" t="s">
        <v>105</v>
      </c>
      <c r="M56" t="s">
        <v>40</v>
      </c>
      <c r="N56" t="s">
        <v>113</v>
      </c>
      <c r="O56" t="s">
        <v>112</v>
      </c>
      <c r="P56" t="s">
        <v>103</v>
      </c>
      <c r="Q56">
        <v>200001</v>
      </c>
      <c r="R56" t="s">
        <v>38</v>
      </c>
      <c r="S56">
        <v>900</v>
      </c>
      <c r="V56">
        <v>900</v>
      </c>
      <c r="W56">
        <v>1047.5999999999999</v>
      </c>
      <c r="X56">
        <v>1600</v>
      </c>
      <c r="Y56">
        <v>0</v>
      </c>
      <c r="Z56">
        <v>0</v>
      </c>
      <c r="AA56">
        <v>1676159.9999999998</v>
      </c>
    </row>
    <row r="57" spans="1:27">
      <c r="A57">
        <v>54</v>
      </c>
      <c r="B57" t="s">
        <v>35</v>
      </c>
      <c r="C57" t="s">
        <v>36</v>
      </c>
      <c r="D57" t="s">
        <v>110</v>
      </c>
      <c r="E57" t="s">
        <v>68</v>
      </c>
      <c r="F57" t="s">
        <v>29</v>
      </c>
      <c r="G57">
        <v>18</v>
      </c>
      <c r="H57" t="s">
        <v>31</v>
      </c>
      <c r="I57" t="s">
        <v>107</v>
      </c>
      <c r="J57">
        <v>25</v>
      </c>
      <c r="K57" t="s">
        <v>99</v>
      </c>
      <c r="L57" t="s">
        <v>108</v>
      </c>
      <c r="M57" t="s">
        <v>43</v>
      </c>
      <c r="N57" t="s">
        <v>117</v>
      </c>
      <c r="O57" t="s">
        <v>112</v>
      </c>
      <c r="P57" t="s">
        <v>103</v>
      </c>
      <c r="Q57">
        <v>200001</v>
      </c>
      <c r="R57" t="s">
        <v>38</v>
      </c>
      <c r="S57">
        <v>1050</v>
      </c>
      <c r="V57">
        <v>1050</v>
      </c>
      <c r="W57">
        <v>1222.1999999999998</v>
      </c>
      <c r="X57">
        <v>1000</v>
      </c>
      <c r="Y57">
        <v>0</v>
      </c>
      <c r="Z57">
        <v>0</v>
      </c>
      <c r="AA57">
        <v>1222199.9999999998</v>
      </c>
    </row>
    <row r="58" spans="1:27">
      <c r="A58">
        <v>55</v>
      </c>
      <c r="B58" t="s">
        <v>45</v>
      </c>
      <c r="C58" t="s">
        <v>46</v>
      </c>
      <c r="D58" t="s">
        <v>123</v>
      </c>
      <c r="E58" t="s">
        <v>68</v>
      </c>
      <c r="F58" t="s">
        <v>16</v>
      </c>
      <c r="G58">
        <v>15</v>
      </c>
      <c r="H58" t="s">
        <v>18</v>
      </c>
      <c r="I58" t="s">
        <v>98</v>
      </c>
      <c r="J58">
        <v>30</v>
      </c>
      <c r="K58" t="s">
        <v>99</v>
      </c>
      <c r="L58" t="s">
        <v>100</v>
      </c>
      <c r="M58" t="s">
        <v>48</v>
      </c>
      <c r="N58" t="s">
        <v>124</v>
      </c>
      <c r="O58" t="s">
        <v>125</v>
      </c>
      <c r="P58" t="s">
        <v>126</v>
      </c>
      <c r="Q58">
        <v>20095</v>
      </c>
      <c r="R58" t="s">
        <v>49</v>
      </c>
      <c r="U58">
        <v>30000</v>
      </c>
      <c r="V58">
        <v>285.60000000000002</v>
      </c>
      <c r="W58">
        <v>332.4384</v>
      </c>
      <c r="X58">
        <v>180</v>
      </c>
      <c r="Y58">
        <v>0</v>
      </c>
      <c r="Z58">
        <v>0</v>
      </c>
      <c r="AA58">
        <v>59838.911999999997</v>
      </c>
    </row>
    <row r="59" spans="1:27">
      <c r="A59">
        <v>56</v>
      </c>
      <c r="B59" t="s">
        <v>45</v>
      </c>
      <c r="C59" t="s">
        <v>46</v>
      </c>
      <c r="D59" t="s">
        <v>123</v>
      </c>
      <c r="E59" t="s">
        <v>68</v>
      </c>
      <c r="F59" t="s">
        <v>23</v>
      </c>
      <c r="G59">
        <v>20</v>
      </c>
      <c r="H59" t="s">
        <v>25</v>
      </c>
      <c r="I59" t="s">
        <v>104</v>
      </c>
      <c r="J59">
        <v>40</v>
      </c>
      <c r="K59" t="s">
        <v>99</v>
      </c>
      <c r="L59" t="s">
        <v>105</v>
      </c>
      <c r="M59" t="s">
        <v>51</v>
      </c>
      <c r="N59" t="s">
        <v>127</v>
      </c>
      <c r="O59" t="s">
        <v>125</v>
      </c>
      <c r="P59" t="s">
        <v>126</v>
      </c>
      <c r="Q59">
        <v>20095</v>
      </c>
      <c r="R59" t="s">
        <v>49</v>
      </c>
      <c r="U59">
        <v>25000</v>
      </c>
      <c r="V59">
        <v>238.00000000000003</v>
      </c>
      <c r="W59">
        <v>277.03200000000004</v>
      </c>
      <c r="X59">
        <v>320</v>
      </c>
      <c r="Y59">
        <v>0</v>
      </c>
      <c r="Z59">
        <v>0</v>
      </c>
      <c r="AA59">
        <v>88650.24000000002</v>
      </c>
    </row>
    <row r="60" spans="1:27">
      <c r="A60">
        <v>57</v>
      </c>
      <c r="B60" t="s">
        <v>45</v>
      </c>
      <c r="C60" t="s">
        <v>46</v>
      </c>
      <c r="D60" t="s">
        <v>123</v>
      </c>
      <c r="E60" t="s">
        <v>68</v>
      </c>
      <c r="F60" t="s">
        <v>29</v>
      </c>
      <c r="G60">
        <v>18</v>
      </c>
      <c r="H60" t="s">
        <v>31</v>
      </c>
      <c r="I60" t="s">
        <v>107</v>
      </c>
      <c r="J60">
        <v>25</v>
      </c>
      <c r="K60" t="s">
        <v>99</v>
      </c>
      <c r="L60" t="s">
        <v>108</v>
      </c>
      <c r="M60" t="s">
        <v>53</v>
      </c>
      <c r="N60" t="s">
        <v>128</v>
      </c>
      <c r="O60" t="s">
        <v>125</v>
      </c>
      <c r="P60" t="s">
        <v>126</v>
      </c>
      <c r="Q60">
        <v>20095</v>
      </c>
      <c r="R60" t="s">
        <v>49</v>
      </c>
      <c r="U60">
        <v>22000</v>
      </c>
      <c r="V60">
        <v>209.44000000000003</v>
      </c>
      <c r="W60">
        <v>243.78816</v>
      </c>
      <c r="X60">
        <v>220</v>
      </c>
      <c r="Y60">
        <v>0</v>
      </c>
      <c r="Z60">
        <v>0</v>
      </c>
      <c r="AA60">
        <v>53633.395199999999</v>
      </c>
    </row>
    <row r="61" spans="1:27">
      <c r="A61">
        <v>58</v>
      </c>
      <c r="B61" t="s">
        <v>55</v>
      </c>
      <c r="C61" t="s">
        <v>56</v>
      </c>
      <c r="D61" t="s">
        <v>129</v>
      </c>
      <c r="E61" t="s">
        <v>68</v>
      </c>
      <c r="F61" t="s">
        <v>16</v>
      </c>
      <c r="G61">
        <v>15</v>
      </c>
      <c r="H61" t="s">
        <v>18</v>
      </c>
      <c r="I61" t="s">
        <v>98</v>
      </c>
      <c r="J61">
        <v>30</v>
      </c>
      <c r="K61" t="s">
        <v>99</v>
      </c>
      <c r="L61" t="s">
        <v>100</v>
      </c>
      <c r="M61" t="s">
        <v>57</v>
      </c>
      <c r="N61" t="s">
        <v>130</v>
      </c>
      <c r="O61" t="s">
        <v>131</v>
      </c>
      <c r="P61" t="s">
        <v>126</v>
      </c>
      <c r="Q61">
        <v>75005</v>
      </c>
      <c r="R61" t="s">
        <v>58</v>
      </c>
      <c r="T61">
        <v>5000</v>
      </c>
      <c r="V61">
        <v>27.31</v>
      </c>
      <c r="W61">
        <v>31.788839999999997</v>
      </c>
      <c r="X61">
        <v>140</v>
      </c>
      <c r="Y61">
        <v>0</v>
      </c>
      <c r="Z61">
        <v>0</v>
      </c>
      <c r="AA61">
        <v>4450.4375999999993</v>
      </c>
    </row>
    <row r="62" spans="1:27">
      <c r="A62">
        <v>59</v>
      </c>
      <c r="B62" t="s">
        <v>55</v>
      </c>
      <c r="C62" t="s">
        <v>56</v>
      </c>
      <c r="D62" t="s">
        <v>129</v>
      </c>
      <c r="E62" t="s">
        <v>68</v>
      </c>
      <c r="F62" t="s">
        <v>23</v>
      </c>
      <c r="G62">
        <v>20</v>
      </c>
      <c r="H62" t="s">
        <v>25</v>
      </c>
      <c r="I62" t="s">
        <v>104</v>
      </c>
      <c r="J62">
        <v>64.37</v>
      </c>
      <c r="K62" t="s">
        <v>115</v>
      </c>
      <c r="L62" t="s">
        <v>120</v>
      </c>
      <c r="M62" t="s">
        <v>61</v>
      </c>
      <c r="N62" t="s">
        <v>132</v>
      </c>
      <c r="O62" t="s">
        <v>131</v>
      </c>
      <c r="P62" t="s">
        <v>126</v>
      </c>
      <c r="Q62">
        <v>75005</v>
      </c>
      <c r="R62" t="s">
        <v>58</v>
      </c>
      <c r="T62">
        <v>3500</v>
      </c>
      <c r="V62">
        <v>19.117000000000001</v>
      </c>
      <c r="W62">
        <v>22.252188</v>
      </c>
      <c r="X62">
        <v>300</v>
      </c>
      <c r="Y62">
        <v>0</v>
      </c>
      <c r="Z62">
        <v>0</v>
      </c>
      <c r="AA62">
        <v>6675.6563999999998</v>
      </c>
    </row>
    <row r="63" spans="1:27">
      <c r="A63">
        <v>60</v>
      </c>
      <c r="B63" t="s">
        <v>55</v>
      </c>
      <c r="C63" t="s">
        <v>56</v>
      </c>
      <c r="D63" t="s">
        <v>129</v>
      </c>
      <c r="E63" t="s">
        <v>68</v>
      </c>
      <c r="F63" t="s">
        <v>29</v>
      </c>
      <c r="G63">
        <v>18</v>
      </c>
      <c r="H63" t="s">
        <v>31</v>
      </c>
      <c r="I63" t="s">
        <v>107</v>
      </c>
      <c r="J63">
        <v>25</v>
      </c>
      <c r="K63" t="s">
        <v>99</v>
      </c>
      <c r="L63" t="s">
        <v>108</v>
      </c>
      <c r="M63" t="s">
        <v>63</v>
      </c>
      <c r="N63" t="s">
        <v>133</v>
      </c>
      <c r="O63" t="s">
        <v>131</v>
      </c>
      <c r="P63" t="s">
        <v>126</v>
      </c>
      <c r="Q63">
        <v>75005</v>
      </c>
      <c r="R63" t="s">
        <v>58</v>
      </c>
      <c r="T63">
        <v>3500</v>
      </c>
      <c r="V63">
        <v>19.117000000000001</v>
      </c>
      <c r="W63">
        <v>22.252188</v>
      </c>
      <c r="X63">
        <v>280</v>
      </c>
      <c r="Y63">
        <v>0</v>
      </c>
      <c r="Z63">
        <v>0</v>
      </c>
      <c r="AA63">
        <v>6230.6126400000003</v>
      </c>
    </row>
    <row r="64" spans="1:27">
      <c r="A64">
        <v>61</v>
      </c>
      <c r="B64" t="s">
        <v>13</v>
      </c>
      <c r="C64" t="s">
        <v>14</v>
      </c>
      <c r="D64" t="s">
        <v>97</v>
      </c>
      <c r="E64" t="s">
        <v>69</v>
      </c>
      <c r="F64" t="s">
        <v>16</v>
      </c>
      <c r="G64">
        <v>15</v>
      </c>
      <c r="H64" t="s">
        <v>18</v>
      </c>
      <c r="I64" t="s">
        <v>98</v>
      </c>
      <c r="J64">
        <v>30</v>
      </c>
      <c r="K64" t="s">
        <v>99</v>
      </c>
      <c r="L64" t="s">
        <v>100</v>
      </c>
      <c r="M64" t="s">
        <v>20</v>
      </c>
      <c r="N64" t="s">
        <v>101</v>
      </c>
      <c r="O64" t="s">
        <v>102</v>
      </c>
      <c r="P64" t="s">
        <v>103</v>
      </c>
      <c r="Q64">
        <v>560001</v>
      </c>
      <c r="R64" t="s">
        <v>21</v>
      </c>
      <c r="T64">
        <v>4200</v>
      </c>
      <c r="V64">
        <v>22.9404</v>
      </c>
      <c r="W64">
        <v>26.702625599999998</v>
      </c>
      <c r="X64">
        <v>250</v>
      </c>
      <c r="Y64">
        <v>0</v>
      </c>
      <c r="Z64">
        <v>0</v>
      </c>
      <c r="AA64">
        <v>6675.6563999999989</v>
      </c>
    </row>
    <row r="65" spans="1:27">
      <c r="A65">
        <v>62</v>
      </c>
      <c r="B65" t="s">
        <v>13</v>
      </c>
      <c r="C65" t="s">
        <v>14</v>
      </c>
      <c r="D65" t="s">
        <v>97</v>
      </c>
      <c r="E65" t="s">
        <v>69</v>
      </c>
      <c r="F65" t="s">
        <v>23</v>
      </c>
      <c r="G65">
        <v>20</v>
      </c>
      <c r="H65" t="s">
        <v>25</v>
      </c>
      <c r="I65" t="s">
        <v>104</v>
      </c>
      <c r="J65">
        <v>40</v>
      </c>
      <c r="K65" t="s">
        <v>99</v>
      </c>
      <c r="L65" t="s">
        <v>105</v>
      </c>
      <c r="M65" t="s">
        <v>27</v>
      </c>
      <c r="N65" t="s">
        <v>106</v>
      </c>
      <c r="O65" t="s">
        <v>102</v>
      </c>
      <c r="P65" t="s">
        <v>103</v>
      </c>
      <c r="Q65">
        <v>560001</v>
      </c>
      <c r="R65" t="s">
        <v>21</v>
      </c>
      <c r="S65">
        <v>1000</v>
      </c>
      <c r="V65">
        <v>1000</v>
      </c>
      <c r="W65">
        <v>1164</v>
      </c>
      <c r="X65">
        <v>500</v>
      </c>
      <c r="Y65">
        <v>0</v>
      </c>
      <c r="Z65">
        <v>0</v>
      </c>
      <c r="AA65">
        <v>582000</v>
      </c>
    </row>
    <row r="66" spans="1:27">
      <c r="A66">
        <v>63</v>
      </c>
      <c r="B66" t="s">
        <v>13</v>
      </c>
      <c r="C66" t="s">
        <v>14</v>
      </c>
      <c r="D66" t="s">
        <v>97</v>
      </c>
      <c r="E66" t="s">
        <v>69</v>
      </c>
      <c r="F66" t="s">
        <v>29</v>
      </c>
      <c r="G66">
        <v>17.515000000000001</v>
      </c>
      <c r="H66" t="s">
        <v>31</v>
      </c>
      <c r="I66" t="s">
        <v>122</v>
      </c>
      <c r="J66">
        <v>25</v>
      </c>
      <c r="K66" t="s">
        <v>99</v>
      </c>
      <c r="L66" t="s">
        <v>108</v>
      </c>
      <c r="M66" t="s">
        <v>33</v>
      </c>
      <c r="N66" t="s">
        <v>109</v>
      </c>
      <c r="O66" t="s">
        <v>102</v>
      </c>
      <c r="P66" t="s">
        <v>103</v>
      </c>
      <c r="Q66">
        <v>560001</v>
      </c>
      <c r="R66" t="s">
        <v>21</v>
      </c>
      <c r="S66">
        <v>800</v>
      </c>
      <c r="V66">
        <v>800</v>
      </c>
      <c r="W66">
        <v>931.19999999999993</v>
      </c>
      <c r="X66">
        <v>400</v>
      </c>
      <c r="Y66">
        <v>0</v>
      </c>
      <c r="Z66">
        <v>0</v>
      </c>
      <c r="AA66">
        <v>372480</v>
      </c>
    </row>
    <row r="67" spans="1:27">
      <c r="A67">
        <v>64</v>
      </c>
      <c r="B67" t="s">
        <v>35</v>
      </c>
      <c r="C67" t="s">
        <v>36</v>
      </c>
      <c r="D67" t="s">
        <v>110</v>
      </c>
      <c r="E67" t="s">
        <v>69</v>
      </c>
      <c r="F67" t="s">
        <v>16</v>
      </c>
      <c r="G67">
        <v>15</v>
      </c>
      <c r="H67" t="s">
        <v>18</v>
      </c>
      <c r="I67" t="s">
        <v>98</v>
      </c>
      <c r="J67">
        <v>30</v>
      </c>
      <c r="K67" t="s">
        <v>99</v>
      </c>
      <c r="L67" t="s">
        <v>100</v>
      </c>
      <c r="M67" t="s">
        <v>37</v>
      </c>
      <c r="N67" t="s">
        <v>111</v>
      </c>
      <c r="O67" t="s">
        <v>112</v>
      </c>
      <c r="P67" t="s">
        <v>103</v>
      </c>
      <c r="Q67">
        <v>200001</v>
      </c>
      <c r="R67" t="s">
        <v>38</v>
      </c>
      <c r="S67">
        <v>950</v>
      </c>
      <c r="V67">
        <v>950</v>
      </c>
      <c r="W67">
        <v>1105.8</v>
      </c>
      <c r="X67">
        <v>800</v>
      </c>
      <c r="Y67">
        <v>0</v>
      </c>
      <c r="Z67">
        <v>0</v>
      </c>
      <c r="AA67">
        <v>884640</v>
      </c>
    </row>
    <row r="68" spans="1:27">
      <c r="A68">
        <v>65</v>
      </c>
      <c r="B68" t="s">
        <v>35</v>
      </c>
      <c r="C68" t="s">
        <v>36</v>
      </c>
      <c r="D68" t="s">
        <v>110</v>
      </c>
      <c r="E68" t="s">
        <v>69</v>
      </c>
      <c r="F68" t="s">
        <v>23</v>
      </c>
      <c r="G68">
        <v>20</v>
      </c>
      <c r="H68" t="s">
        <v>25</v>
      </c>
      <c r="I68" t="s">
        <v>104</v>
      </c>
      <c r="J68">
        <v>40</v>
      </c>
      <c r="K68" t="s">
        <v>99</v>
      </c>
      <c r="L68" t="s">
        <v>105</v>
      </c>
      <c r="M68" t="s">
        <v>40</v>
      </c>
      <c r="N68" t="s">
        <v>113</v>
      </c>
      <c r="O68" t="s">
        <v>112</v>
      </c>
      <c r="P68" t="s">
        <v>103</v>
      </c>
      <c r="Q68">
        <v>200001</v>
      </c>
      <c r="R68" t="s">
        <v>38</v>
      </c>
      <c r="S68">
        <v>1100</v>
      </c>
      <c r="V68">
        <v>1100</v>
      </c>
      <c r="W68">
        <v>1280.3999999999999</v>
      </c>
      <c r="X68">
        <v>1900</v>
      </c>
      <c r="Y68">
        <v>0</v>
      </c>
      <c r="Z68">
        <v>0</v>
      </c>
      <c r="AA68">
        <v>2432759.9999999995</v>
      </c>
    </row>
    <row r="69" spans="1:27">
      <c r="A69">
        <v>66</v>
      </c>
      <c r="B69" t="s">
        <v>35</v>
      </c>
      <c r="C69" t="s">
        <v>36</v>
      </c>
      <c r="D69" t="s">
        <v>110</v>
      </c>
      <c r="E69" t="s">
        <v>69</v>
      </c>
      <c r="F69" t="s">
        <v>29</v>
      </c>
      <c r="G69">
        <v>18</v>
      </c>
      <c r="H69" t="s">
        <v>31</v>
      </c>
      <c r="I69" t="s">
        <v>107</v>
      </c>
      <c r="J69">
        <v>25</v>
      </c>
      <c r="K69" t="s">
        <v>99</v>
      </c>
      <c r="L69" t="s">
        <v>108</v>
      </c>
      <c r="M69" t="s">
        <v>43</v>
      </c>
      <c r="N69" t="s">
        <v>117</v>
      </c>
      <c r="O69" t="s">
        <v>112</v>
      </c>
      <c r="P69" t="s">
        <v>103</v>
      </c>
      <c r="Q69">
        <v>200001</v>
      </c>
      <c r="R69" t="s">
        <v>38</v>
      </c>
      <c r="S69">
        <v>900</v>
      </c>
      <c r="V69">
        <v>900</v>
      </c>
      <c r="W69">
        <v>1047.5999999999999</v>
      </c>
      <c r="X69">
        <v>1200</v>
      </c>
      <c r="Y69">
        <v>0</v>
      </c>
      <c r="Z69">
        <v>0</v>
      </c>
      <c r="AA69">
        <v>1257120</v>
      </c>
    </row>
    <row r="70" spans="1:27">
      <c r="A70">
        <v>67</v>
      </c>
      <c r="B70" t="s">
        <v>45</v>
      </c>
      <c r="C70" t="s">
        <v>46</v>
      </c>
      <c r="D70" t="s">
        <v>123</v>
      </c>
      <c r="E70" t="s">
        <v>69</v>
      </c>
      <c r="F70" t="s">
        <v>16</v>
      </c>
      <c r="G70">
        <v>15</v>
      </c>
      <c r="H70" t="s">
        <v>18</v>
      </c>
      <c r="I70" t="s">
        <v>98</v>
      </c>
      <c r="J70">
        <v>30</v>
      </c>
      <c r="K70" t="s">
        <v>99</v>
      </c>
      <c r="L70" t="s">
        <v>100</v>
      </c>
      <c r="M70" t="s">
        <v>48</v>
      </c>
      <c r="N70" t="s">
        <v>124</v>
      </c>
      <c r="O70" t="s">
        <v>125</v>
      </c>
      <c r="P70" t="s">
        <v>126</v>
      </c>
      <c r="Q70">
        <v>20095</v>
      </c>
      <c r="R70" t="s">
        <v>49</v>
      </c>
      <c r="S70">
        <v>1050</v>
      </c>
      <c r="V70">
        <v>1050</v>
      </c>
      <c r="W70">
        <v>1222.1999999999998</v>
      </c>
      <c r="X70">
        <v>200</v>
      </c>
      <c r="Y70">
        <v>0</v>
      </c>
      <c r="Z70">
        <v>0</v>
      </c>
      <c r="AA70">
        <v>244439.99999999997</v>
      </c>
    </row>
    <row r="71" spans="1:27">
      <c r="A71">
        <v>68</v>
      </c>
      <c r="B71" t="s">
        <v>45</v>
      </c>
      <c r="C71" t="s">
        <v>46</v>
      </c>
      <c r="D71" t="s">
        <v>123</v>
      </c>
      <c r="E71" t="s">
        <v>69</v>
      </c>
      <c r="F71" t="s">
        <v>23</v>
      </c>
      <c r="G71">
        <v>20</v>
      </c>
      <c r="H71" t="s">
        <v>25</v>
      </c>
      <c r="I71" t="s">
        <v>104</v>
      </c>
      <c r="J71">
        <v>64.37</v>
      </c>
      <c r="K71" t="s">
        <v>115</v>
      </c>
      <c r="L71" t="s">
        <v>120</v>
      </c>
      <c r="M71" t="s">
        <v>51</v>
      </c>
      <c r="N71" t="s">
        <v>127</v>
      </c>
      <c r="O71" t="s">
        <v>125</v>
      </c>
      <c r="P71" t="s">
        <v>126</v>
      </c>
      <c r="Q71">
        <v>20095</v>
      </c>
      <c r="R71" t="s">
        <v>49</v>
      </c>
      <c r="U71">
        <v>30000</v>
      </c>
      <c r="V71">
        <v>285.60000000000002</v>
      </c>
      <c r="W71">
        <v>332.4384</v>
      </c>
      <c r="X71">
        <v>350</v>
      </c>
      <c r="Y71">
        <v>0</v>
      </c>
      <c r="Z71">
        <v>0</v>
      </c>
      <c r="AA71">
        <v>116353.44</v>
      </c>
    </row>
    <row r="72" spans="1:27">
      <c r="A72">
        <v>69</v>
      </c>
      <c r="B72" t="s">
        <v>45</v>
      </c>
      <c r="C72" t="s">
        <v>46</v>
      </c>
      <c r="D72" t="s">
        <v>123</v>
      </c>
      <c r="E72" t="s">
        <v>69</v>
      </c>
      <c r="F72" t="s">
        <v>29</v>
      </c>
      <c r="G72">
        <v>18</v>
      </c>
      <c r="H72" t="s">
        <v>31</v>
      </c>
      <c r="I72" t="s">
        <v>107</v>
      </c>
      <c r="J72">
        <v>40.229999999999997</v>
      </c>
      <c r="K72" t="s">
        <v>115</v>
      </c>
      <c r="L72" t="s">
        <v>116</v>
      </c>
      <c r="M72" t="s">
        <v>53</v>
      </c>
      <c r="N72" t="s">
        <v>128</v>
      </c>
      <c r="O72" t="s">
        <v>125</v>
      </c>
      <c r="P72" t="s">
        <v>126</v>
      </c>
      <c r="Q72">
        <v>20095</v>
      </c>
      <c r="R72" t="s">
        <v>49</v>
      </c>
      <c r="U72">
        <v>25000</v>
      </c>
      <c r="V72">
        <v>238.00000000000003</v>
      </c>
      <c r="W72">
        <v>277.03200000000004</v>
      </c>
      <c r="X72">
        <v>250</v>
      </c>
      <c r="Y72">
        <v>0</v>
      </c>
      <c r="Z72">
        <v>0</v>
      </c>
      <c r="AA72">
        <v>69258.000000000015</v>
      </c>
    </row>
    <row r="73" spans="1:27">
      <c r="A73">
        <v>70</v>
      </c>
      <c r="B73" t="s">
        <v>55</v>
      </c>
      <c r="C73" t="s">
        <v>56</v>
      </c>
      <c r="D73" t="s">
        <v>129</v>
      </c>
      <c r="E73" t="s">
        <v>69</v>
      </c>
      <c r="F73" t="s">
        <v>16</v>
      </c>
      <c r="G73">
        <v>17.515000000000001</v>
      </c>
      <c r="H73" t="s">
        <v>18</v>
      </c>
      <c r="I73" t="s">
        <v>121</v>
      </c>
      <c r="J73">
        <v>30</v>
      </c>
      <c r="K73" t="s">
        <v>99</v>
      </c>
      <c r="L73" t="s">
        <v>100</v>
      </c>
      <c r="M73" t="s">
        <v>57</v>
      </c>
      <c r="N73" t="s">
        <v>130</v>
      </c>
      <c r="O73" t="s">
        <v>131</v>
      </c>
      <c r="P73" t="s">
        <v>126</v>
      </c>
      <c r="Q73">
        <v>75005</v>
      </c>
      <c r="R73" t="s">
        <v>58</v>
      </c>
      <c r="U73">
        <v>22000</v>
      </c>
      <c r="V73">
        <v>209.44000000000003</v>
      </c>
      <c r="W73">
        <v>243.78816</v>
      </c>
      <c r="X73">
        <v>150</v>
      </c>
      <c r="Y73">
        <v>0</v>
      </c>
      <c r="Z73">
        <v>0</v>
      </c>
      <c r="AA73">
        <v>36568.224000000002</v>
      </c>
    </row>
    <row r="74" spans="1:27">
      <c r="A74">
        <v>71</v>
      </c>
      <c r="B74" t="s">
        <v>55</v>
      </c>
      <c r="C74" t="s">
        <v>56</v>
      </c>
      <c r="D74" t="s">
        <v>129</v>
      </c>
      <c r="E74" t="s">
        <v>69</v>
      </c>
      <c r="F74" t="s">
        <v>23</v>
      </c>
      <c r="G74">
        <v>20</v>
      </c>
      <c r="H74" t="s">
        <v>25</v>
      </c>
      <c r="I74" t="s">
        <v>104</v>
      </c>
      <c r="J74">
        <v>40</v>
      </c>
      <c r="K74" t="s">
        <v>99</v>
      </c>
      <c r="L74" t="s">
        <v>105</v>
      </c>
      <c r="M74" t="s">
        <v>61</v>
      </c>
      <c r="N74" t="s">
        <v>132</v>
      </c>
      <c r="O74" t="s">
        <v>131</v>
      </c>
      <c r="P74" t="s">
        <v>126</v>
      </c>
      <c r="Q74">
        <v>75005</v>
      </c>
      <c r="R74" t="s">
        <v>58</v>
      </c>
      <c r="T74">
        <v>5000</v>
      </c>
      <c r="V74">
        <v>27.31</v>
      </c>
      <c r="W74">
        <v>31.788839999999997</v>
      </c>
      <c r="X74">
        <v>350</v>
      </c>
      <c r="Y74">
        <v>0</v>
      </c>
      <c r="Z74">
        <v>0</v>
      </c>
      <c r="AA74">
        <v>11126.093999999999</v>
      </c>
    </row>
    <row r="75" spans="1:27">
      <c r="A75">
        <v>72</v>
      </c>
      <c r="B75" t="s">
        <v>55</v>
      </c>
      <c r="C75" t="s">
        <v>56</v>
      </c>
      <c r="D75" t="s">
        <v>129</v>
      </c>
      <c r="E75" t="s">
        <v>69</v>
      </c>
      <c r="F75" t="s">
        <v>29</v>
      </c>
      <c r="G75">
        <v>18</v>
      </c>
      <c r="H75" t="s">
        <v>31</v>
      </c>
      <c r="I75" t="s">
        <v>107</v>
      </c>
      <c r="J75">
        <v>25</v>
      </c>
      <c r="K75" t="s">
        <v>99</v>
      </c>
      <c r="L75" t="s">
        <v>108</v>
      </c>
      <c r="M75" t="s">
        <v>63</v>
      </c>
      <c r="N75" t="s">
        <v>133</v>
      </c>
      <c r="O75" t="s">
        <v>131</v>
      </c>
      <c r="P75" t="s">
        <v>126</v>
      </c>
      <c r="Q75">
        <v>75005</v>
      </c>
      <c r="R75" t="s">
        <v>58</v>
      </c>
      <c r="T75">
        <v>3500</v>
      </c>
      <c r="V75">
        <v>19.117000000000001</v>
      </c>
      <c r="W75">
        <v>22.252188</v>
      </c>
      <c r="X75">
        <v>300</v>
      </c>
      <c r="Y75">
        <v>0</v>
      </c>
      <c r="Z75">
        <v>0</v>
      </c>
      <c r="AA75">
        <v>6675.6563999999998</v>
      </c>
    </row>
    <row r="76" spans="1:27">
      <c r="A76">
        <v>73</v>
      </c>
      <c r="B76" t="s">
        <v>13</v>
      </c>
      <c r="C76" t="s">
        <v>14</v>
      </c>
      <c r="D76" t="s">
        <v>97</v>
      </c>
      <c r="E76" t="s">
        <v>70</v>
      </c>
      <c r="F76" t="s">
        <v>16</v>
      </c>
      <c r="G76">
        <v>15</v>
      </c>
      <c r="H76" t="s">
        <v>18</v>
      </c>
      <c r="I76" t="s">
        <v>98</v>
      </c>
      <c r="J76">
        <v>30</v>
      </c>
      <c r="K76" t="s">
        <v>99</v>
      </c>
      <c r="L76" t="s">
        <v>100</v>
      </c>
      <c r="M76" t="s">
        <v>20</v>
      </c>
      <c r="N76" t="s">
        <v>101</v>
      </c>
      <c r="O76" t="s">
        <v>102</v>
      </c>
      <c r="P76" t="s">
        <v>103</v>
      </c>
      <c r="Q76">
        <v>560001</v>
      </c>
      <c r="R76" t="s">
        <v>21</v>
      </c>
      <c r="T76">
        <v>4200</v>
      </c>
      <c r="V76">
        <v>22.9404</v>
      </c>
      <c r="W76">
        <v>26.702625599999998</v>
      </c>
      <c r="X76">
        <v>250</v>
      </c>
      <c r="Y76">
        <v>0</v>
      </c>
      <c r="Z76">
        <v>0</v>
      </c>
      <c r="AA76">
        <v>6675.6563999999989</v>
      </c>
    </row>
    <row r="77" spans="1:27">
      <c r="A77">
        <v>74</v>
      </c>
      <c r="B77" t="s">
        <v>13</v>
      </c>
      <c r="C77" t="s">
        <v>14</v>
      </c>
      <c r="D77" t="s">
        <v>97</v>
      </c>
      <c r="E77" t="s">
        <v>70</v>
      </c>
      <c r="F77" t="s">
        <v>23</v>
      </c>
      <c r="G77">
        <v>20</v>
      </c>
      <c r="H77" t="s">
        <v>25</v>
      </c>
      <c r="I77" t="s">
        <v>104</v>
      </c>
      <c r="J77">
        <v>40</v>
      </c>
      <c r="K77" t="s">
        <v>99</v>
      </c>
      <c r="L77" t="s">
        <v>105</v>
      </c>
      <c r="M77" t="s">
        <v>27</v>
      </c>
      <c r="N77" t="s">
        <v>106</v>
      </c>
      <c r="O77" t="s">
        <v>102</v>
      </c>
      <c r="P77" t="s">
        <v>103</v>
      </c>
      <c r="Q77">
        <v>560001</v>
      </c>
      <c r="R77" t="s">
        <v>21</v>
      </c>
      <c r="S77">
        <v>1000</v>
      </c>
      <c r="V77">
        <v>1000</v>
      </c>
      <c r="W77">
        <v>1164</v>
      </c>
      <c r="X77">
        <v>500</v>
      </c>
      <c r="Y77">
        <v>0</v>
      </c>
      <c r="Z77">
        <v>0</v>
      </c>
      <c r="AA77">
        <v>582000</v>
      </c>
    </row>
    <row r="78" spans="1:27">
      <c r="A78">
        <v>75</v>
      </c>
      <c r="B78" t="s">
        <v>13</v>
      </c>
      <c r="C78" t="s">
        <v>14</v>
      </c>
      <c r="D78" t="s">
        <v>97</v>
      </c>
      <c r="E78" t="s">
        <v>70</v>
      </c>
      <c r="F78" t="s">
        <v>29</v>
      </c>
      <c r="G78">
        <v>18</v>
      </c>
      <c r="H78" t="s">
        <v>31</v>
      </c>
      <c r="I78" t="s">
        <v>107</v>
      </c>
      <c r="J78">
        <v>25</v>
      </c>
      <c r="K78" t="s">
        <v>99</v>
      </c>
      <c r="L78" t="s">
        <v>108</v>
      </c>
      <c r="M78" t="s">
        <v>33</v>
      </c>
      <c r="N78" t="s">
        <v>109</v>
      </c>
      <c r="O78" t="s">
        <v>102</v>
      </c>
      <c r="P78" t="s">
        <v>103</v>
      </c>
      <c r="Q78">
        <v>560001</v>
      </c>
      <c r="R78" t="s">
        <v>21</v>
      </c>
      <c r="S78">
        <v>800</v>
      </c>
      <c r="V78">
        <v>800</v>
      </c>
      <c r="W78">
        <v>931.19999999999993</v>
      </c>
      <c r="X78">
        <v>400</v>
      </c>
      <c r="Y78">
        <v>0</v>
      </c>
      <c r="Z78">
        <v>0</v>
      </c>
      <c r="AA78">
        <v>372480</v>
      </c>
    </row>
    <row r="79" spans="1:27">
      <c r="A79">
        <v>76</v>
      </c>
      <c r="B79" t="s">
        <v>35</v>
      </c>
      <c r="C79" t="s">
        <v>36</v>
      </c>
      <c r="D79" t="s">
        <v>110</v>
      </c>
      <c r="E79" t="s">
        <v>70</v>
      </c>
      <c r="F79" t="s">
        <v>16</v>
      </c>
      <c r="G79">
        <v>15</v>
      </c>
      <c r="H79" t="s">
        <v>18</v>
      </c>
      <c r="I79" t="s">
        <v>98</v>
      </c>
      <c r="J79">
        <v>48.28</v>
      </c>
      <c r="K79" t="s">
        <v>115</v>
      </c>
      <c r="L79" t="s">
        <v>119</v>
      </c>
      <c r="M79" t="s">
        <v>37</v>
      </c>
      <c r="N79" t="s">
        <v>111</v>
      </c>
      <c r="O79" t="s">
        <v>112</v>
      </c>
      <c r="P79" t="s">
        <v>103</v>
      </c>
      <c r="Q79">
        <v>200001</v>
      </c>
      <c r="R79" t="s">
        <v>38</v>
      </c>
      <c r="S79">
        <v>950</v>
      </c>
      <c r="V79">
        <v>950</v>
      </c>
      <c r="W79">
        <v>1105.8</v>
      </c>
      <c r="X79">
        <v>800</v>
      </c>
      <c r="Y79">
        <v>0</v>
      </c>
      <c r="Z79">
        <v>0</v>
      </c>
      <c r="AA79">
        <v>884640</v>
      </c>
    </row>
    <row r="80" spans="1:27">
      <c r="A80">
        <v>77</v>
      </c>
      <c r="B80" t="s">
        <v>35</v>
      </c>
      <c r="C80" t="s">
        <v>36</v>
      </c>
      <c r="D80" t="s">
        <v>110</v>
      </c>
      <c r="E80" t="s">
        <v>70</v>
      </c>
      <c r="F80" t="s">
        <v>23</v>
      </c>
      <c r="G80">
        <v>20</v>
      </c>
      <c r="H80" t="s">
        <v>25</v>
      </c>
      <c r="I80" t="s">
        <v>104</v>
      </c>
      <c r="J80">
        <v>40</v>
      </c>
      <c r="K80" t="s">
        <v>99</v>
      </c>
      <c r="L80" t="s">
        <v>105</v>
      </c>
      <c r="M80" t="s">
        <v>40</v>
      </c>
      <c r="N80" t="s">
        <v>113</v>
      </c>
      <c r="O80" t="s">
        <v>112</v>
      </c>
      <c r="P80" t="s">
        <v>103</v>
      </c>
      <c r="Q80">
        <v>200001</v>
      </c>
      <c r="R80" t="s">
        <v>38</v>
      </c>
      <c r="S80">
        <v>1100</v>
      </c>
      <c r="V80">
        <v>1100</v>
      </c>
      <c r="W80">
        <v>1280.3999999999999</v>
      </c>
      <c r="X80">
        <v>1800</v>
      </c>
      <c r="Y80">
        <v>0</v>
      </c>
      <c r="Z80">
        <v>0</v>
      </c>
      <c r="AA80">
        <v>2304719.9999999995</v>
      </c>
    </row>
    <row r="81" spans="1:27">
      <c r="A81">
        <v>78</v>
      </c>
      <c r="B81" t="s">
        <v>35</v>
      </c>
      <c r="C81" t="s">
        <v>36</v>
      </c>
      <c r="D81" t="s">
        <v>110</v>
      </c>
      <c r="E81" t="s">
        <v>70</v>
      </c>
      <c r="F81" t="s">
        <v>29</v>
      </c>
      <c r="G81">
        <v>18</v>
      </c>
      <c r="H81" t="s">
        <v>31</v>
      </c>
      <c r="I81" t="s">
        <v>107</v>
      </c>
      <c r="J81">
        <v>25</v>
      </c>
      <c r="K81" t="s">
        <v>99</v>
      </c>
      <c r="L81" t="s">
        <v>108</v>
      </c>
      <c r="M81" t="s">
        <v>43</v>
      </c>
      <c r="N81" t="s">
        <v>117</v>
      </c>
      <c r="O81" t="s">
        <v>112</v>
      </c>
      <c r="P81" t="s">
        <v>103</v>
      </c>
      <c r="Q81">
        <v>200001</v>
      </c>
      <c r="R81" t="s">
        <v>38</v>
      </c>
      <c r="S81">
        <v>1100</v>
      </c>
      <c r="V81">
        <v>1100</v>
      </c>
      <c r="W81">
        <v>1280.3999999999999</v>
      </c>
      <c r="X81">
        <v>1200</v>
      </c>
      <c r="Y81">
        <v>0</v>
      </c>
      <c r="Z81">
        <v>0</v>
      </c>
      <c r="AA81">
        <v>1536479.9999999998</v>
      </c>
    </row>
    <row r="82" spans="1:27">
      <c r="A82">
        <v>79</v>
      </c>
      <c r="B82" t="s">
        <v>45</v>
      </c>
      <c r="C82" t="s">
        <v>46</v>
      </c>
      <c r="D82" t="s">
        <v>123</v>
      </c>
      <c r="E82" t="s">
        <v>70</v>
      </c>
      <c r="F82" t="s">
        <v>16</v>
      </c>
      <c r="G82">
        <v>15</v>
      </c>
      <c r="H82" t="s">
        <v>18</v>
      </c>
      <c r="I82" t="s">
        <v>98</v>
      </c>
      <c r="J82">
        <v>30</v>
      </c>
      <c r="K82" t="s">
        <v>99</v>
      </c>
      <c r="L82" t="s">
        <v>100</v>
      </c>
      <c r="M82" t="s">
        <v>48</v>
      </c>
      <c r="N82" t="s">
        <v>124</v>
      </c>
      <c r="O82" t="s">
        <v>125</v>
      </c>
      <c r="P82" t="s">
        <v>126</v>
      </c>
      <c r="Q82">
        <v>20095</v>
      </c>
      <c r="R82" t="s">
        <v>49</v>
      </c>
      <c r="S82">
        <v>900</v>
      </c>
      <c r="V82">
        <v>900</v>
      </c>
      <c r="W82">
        <v>1047.5999999999999</v>
      </c>
      <c r="X82">
        <v>200</v>
      </c>
      <c r="Y82">
        <v>0</v>
      </c>
      <c r="Z82">
        <v>0</v>
      </c>
      <c r="AA82">
        <v>209519.99999999997</v>
      </c>
    </row>
    <row r="83" spans="1:27">
      <c r="A83">
        <v>80</v>
      </c>
      <c r="B83" t="s">
        <v>45</v>
      </c>
      <c r="C83" t="s">
        <v>46</v>
      </c>
      <c r="D83" t="s">
        <v>123</v>
      </c>
      <c r="E83" t="s">
        <v>70</v>
      </c>
      <c r="F83" t="s">
        <v>23</v>
      </c>
      <c r="G83">
        <v>20</v>
      </c>
      <c r="H83" t="s">
        <v>25</v>
      </c>
      <c r="I83" t="s">
        <v>104</v>
      </c>
      <c r="J83">
        <v>40</v>
      </c>
      <c r="K83" t="s">
        <v>99</v>
      </c>
      <c r="L83" t="s">
        <v>105</v>
      </c>
      <c r="M83" t="s">
        <v>51</v>
      </c>
      <c r="N83" t="s">
        <v>127</v>
      </c>
      <c r="O83" t="s">
        <v>125</v>
      </c>
      <c r="P83" t="s">
        <v>126</v>
      </c>
      <c r="Q83">
        <v>20095</v>
      </c>
      <c r="R83" t="s">
        <v>49</v>
      </c>
      <c r="S83">
        <v>1050</v>
      </c>
      <c r="V83">
        <v>1050</v>
      </c>
      <c r="W83">
        <v>1222.1999999999998</v>
      </c>
      <c r="X83">
        <v>350</v>
      </c>
      <c r="Y83">
        <v>0</v>
      </c>
      <c r="Z83">
        <v>0</v>
      </c>
      <c r="AA83">
        <v>427769.99999999994</v>
      </c>
    </row>
    <row r="84" spans="1:27">
      <c r="A84">
        <v>81</v>
      </c>
      <c r="B84" t="s">
        <v>45</v>
      </c>
      <c r="C84" t="s">
        <v>46</v>
      </c>
      <c r="D84" t="s">
        <v>123</v>
      </c>
      <c r="E84" t="s">
        <v>70</v>
      </c>
      <c r="F84" t="s">
        <v>29</v>
      </c>
      <c r="G84">
        <v>18</v>
      </c>
      <c r="H84" t="s">
        <v>31</v>
      </c>
      <c r="I84" t="s">
        <v>107</v>
      </c>
      <c r="J84">
        <v>25</v>
      </c>
      <c r="K84" t="s">
        <v>99</v>
      </c>
      <c r="L84" t="s">
        <v>108</v>
      </c>
      <c r="M84" t="s">
        <v>53</v>
      </c>
      <c r="N84" t="s">
        <v>128</v>
      </c>
      <c r="O84" t="s">
        <v>125</v>
      </c>
      <c r="P84" t="s">
        <v>126</v>
      </c>
      <c r="Q84">
        <v>20095</v>
      </c>
      <c r="R84" t="s">
        <v>49</v>
      </c>
      <c r="S84">
        <v>1050</v>
      </c>
      <c r="V84">
        <v>1050</v>
      </c>
      <c r="W84">
        <v>1222.1999999999998</v>
      </c>
      <c r="X84">
        <v>250</v>
      </c>
      <c r="Y84">
        <v>0</v>
      </c>
      <c r="Z84">
        <v>0</v>
      </c>
      <c r="AA84">
        <v>305549.99999999994</v>
      </c>
    </row>
    <row r="85" spans="1:27">
      <c r="A85">
        <v>82</v>
      </c>
      <c r="B85" t="s">
        <v>55</v>
      </c>
      <c r="C85" t="s">
        <v>56</v>
      </c>
      <c r="D85" t="s">
        <v>129</v>
      </c>
      <c r="E85" t="s">
        <v>70</v>
      </c>
      <c r="F85" t="s">
        <v>16</v>
      </c>
      <c r="G85">
        <v>15</v>
      </c>
      <c r="H85" t="s">
        <v>18</v>
      </c>
      <c r="I85" t="s">
        <v>98</v>
      </c>
      <c r="J85">
        <v>30</v>
      </c>
      <c r="K85" t="s">
        <v>99</v>
      </c>
      <c r="L85" t="s">
        <v>100</v>
      </c>
      <c r="M85" t="s">
        <v>57</v>
      </c>
      <c r="N85" t="s">
        <v>130</v>
      </c>
      <c r="O85" t="s">
        <v>131</v>
      </c>
      <c r="P85" t="s">
        <v>126</v>
      </c>
      <c r="Q85">
        <v>75005</v>
      </c>
      <c r="R85" t="s">
        <v>58</v>
      </c>
      <c r="U85">
        <v>30000</v>
      </c>
      <c r="V85">
        <v>285.60000000000002</v>
      </c>
      <c r="W85">
        <v>332.4384</v>
      </c>
      <c r="X85">
        <v>160</v>
      </c>
      <c r="Y85">
        <v>0</v>
      </c>
      <c r="Z85">
        <v>0</v>
      </c>
      <c r="AA85">
        <v>53190.144</v>
      </c>
    </row>
    <row r="86" spans="1:27">
      <c r="A86">
        <v>83</v>
      </c>
      <c r="B86" t="s">
        <v>55</v>
      </c>
      <c r="C86" t="s">
        <v>56</v>
      </c>
      <c r="D86" t="s">
        <v>129</v>
      </c>
      <c r="E86" t="s">
        <v>70</v>
      </c>
      <c r="F86" t="s">
        <v>23</v>
      </c>
      <c r="G86">
        <v>20</v>
      </c>
      <c r="H86" t="s">
        <v>25</v>
      </c>
      <c r="I86" t="s">
        <v>104</v>
      </c>
      <c r="J86">
        <v>40</v>
      </c>
      <c r="K86" t="s">
        <v>99</v>
      </c>
      <c r="L86" t="s">
        <v>105</v>
      </c>
      <c r="M86" t="s">
        <v>61</v>
      </c>
      <c r="N86" t="s">
        <v>132</v>
      </c>
      <c r="O86" t="s">
        <v>131</v>
      </c>
      <c r="P86" t="s">
        <v>126</v>
      </c>
      <c r="Q86">
        <v>75005</v>
      </c>
      <c r="R86" t="s">
        <v>58</v>
      </c>
      <c r="U86">
        <v>25000</v>
      </c>
      <c r="V86">
        <v>238.00000000000003</v>
      </c>
      <c r="W86">
        <v>277.03200000000004</v>
      </c>
      <c r="X86">
        <v>320</v>
      </c>
      <c r="Y86">
        <v>0</v>
      </c>
      <c r="Z86">
        <v>0</v>
      </c>
      <c r="AA86">
        <v>88650.24000000002</v>
      </c>
    </row>
    <row r="87" spans="1:27">
      <c r="A87">
        <v>84</v>
      </c>
      <c r="B87" t="s">
        <v>55</v>
      </c>
      <c r="C87" t="s">
        <v>56</v>
      </c>
      <c r="D87" t="s">
        <v>129</v>
      </c>
      <c r="E87" t="s">
        <v>70</v>
      </c>
      <c r="F87" t="s">
        <v>29</v>
      </c>
      <c r="G87">
        <v>18</v>
      </c>
      <c r="H87" t="s">
        <v>31</v>
      </c>
      <c r="I87" t="s">
        <v>107</v>
      </c>
      <c r="J87">
        <v>25</v>
      </c>
      <c r="K87" t="s">
        <v>99</v>
      </c>
      <c r="L87" t="s">
        <v>108</v>
      </c>
      <c r="M87" t="s">
        <v>63</v>
      </c>
      <c r="N87" t="s">
        <v>133</v>
      </c>
      <c r="O87" t="s">
        <v>131</v>
      </c>
      <c r="P87" t="s">
        <v>126</v>
      </c>
      <c r="Q87">
        <v>75005</v>
      </c>
      <c r="R87" t="s">
        <v>58</v>
      </c>
      <c r="U87">
        <v>22000</v>
      </c>
      <c r="V87">
        <v>209.44000000000003</v>
      </c>
      <c r="W87">
        <v>243.78816</v>
      </c>
      <c r="X87">
        <v>300</v>
      </c>
      <c r="Y87">
        <v>0</v>
      </c>
      <c r="Z87">
        <v>0</v>
      </c>
      <c r="AA87">
        <v>73136.448000000004</v>
      </c>
    </row>
    <row r="88" spans="1:27">
      <c r="A88">
        <v>85</v>
      </c>
      <c r="B88" t="s">
        <v>13</v>
      </c>
      <c r="C88" t="s">
        <v>14</v>
      </c>
      <c r="D88" t="s">
        <v>97</v>
      </c>
      <c r="E88" t="s">
        <v>71</v>
      </c>
      <c r="F88" t="s">
        <v>16</v>
      </c>
      <c r="G88">
        <v>15</v>
      </c>
      <c r="H88" t="s">
        <v>18</v>
      </c>
      <c r="I88" t="s">
        <v>98</v>
      </c>
      <c r="J88">
        <v>30</v>
      </c>
      <c r="K88" t="s">
        <v>99</v>
      </c>
      <c r="L88" t="s">
        <v>100</v>
      </c>
      <c r="M88" t="s">
        <v>20</v>
      </c>
      <c r="N88" t="s">
        <v>101</v>
      </c>
      <c r="O88" t="s">
        <v>102</v>
      </c>
      <c r="P88" t="s">
        <v>103</v>
      </c>
      <c r="Q88">
        <v>560001</v>
      </c>
      <c r="R88" t="s">
        <v>21</v>
      </c>
      <c r="T88">
        <v>5000</v>
      </c>
      <c r="V88">
        <v>27.31</v>
      </c>
      <c r="W88">
        <v>31.788839999999997</v>
      </c>
      <c r="X88">
        <v>200</v>
      </c>
      <c r="Y88">
        <v>0</v>
      </c>
      <c r="Z88">
        <v>0</v>
      </c>
      <c r="AA88">
        <v>6357.7679999999991</v>
      </c>
    </row>
    <row r="89" spans="1:27">
      <c r="A89">
        <v>86</v>
      </c>
      <c r="B89" t="s">
        <v>13</v>
      </c>
      <c r="C89" t="s">
        <v>14</v>
      </c>
      <c r="D89" t="s">
        <v>97</v>
      </c>
      <c r="E89" t="s">
        <v>71</v>
      </c>
      <c r="F89" t="s">
        <v>23</v>
      </c>
      <c r="G89">
        <v>20</v>
      </c>
      <c r="H89" t="s">
        <v>25</v>
      </c>
      <c r="I89" t="s">
        <v>104</v>
      </c>
      <c r="J89">
        <v>40</v>
      </c>
      <c r="K89" t="s">
        <v>99</v>
      </c>
      <c r="L89" t="s">
        <v>105</v>
      </c>
      <c r="M89" t="s">
        <v>27</v>
      </c>
      <c r="N89" t="s">
        <v>106</v>
      </c>
      <c r="O89" t="s">
        <v>102</v>
      </c>
      <c r="P89" t="s">
        <v>103</v>
      </c>
      <c r="Q89">
        <v>560001</v>
      </c>
      <c r="R89" t="s">
        <v>21</v>
      </c>
      <c r="T89">
        <v>3500</v>
      </c>
      <c r="V89">
        <v>19.117000000000001</v>
      </c>
      <c r="W89">
        <v>22.252188</v>
      </c>
      <c r="X89">
        <v>450</v>
      </c>
      <c r="Y89">
        <v>0</v>
      </c>
      <c r="Z89">
        <v>0</v>
      </c>
      <c r="AA89">
        <v>10013.4846</v>
      </c>
    </row>
    <row r="90" spans="1:27">
      <c r="A90">
        <v>87</v>
      </c>
      <c r="B90" t="s">
        <v>13</v>
      </c>
      <c r="C90" t="s">
        <v>14</v>
      </c>
      <c r="D90" t="s">
        <v>97</v>
      </c>
      <c r="E90" t="s">
        <v>71</v>
      </c>
      <c r="F90" t="s">
        <v>29</v>
      </c>
      <c r="G90">
        <v>18</v>
      </c>
      <c r="H90" t="s">
        <v>31</v>
      </c>
      <c r="I90" t="s">
        <v>107</v>
      </c>
      <c r="J90">
        <v>40.229999999999997</v>
      </c>
      <c r="K90" t="s">
        <v>115</v>
      </c>
      <c r="L90" t="s">
        <v>116</v>
      </c>
      <c r="M90" t="s">
        <v>33</v>
      </c>
      <c r="N90" t="s">
        <v>109</v>
      </c>
      <c r="O90" t="s">
        <v>102</v>
      </c>
      <c r="P90" t="s">
        <v>103</v>
      </c>
      <c r="Q90">
        <v>560001</v>
      </c>
      <c r="R90" t="s">
        <v>21</v>
      </c>
      <c r="T90">
        <v>4200</v>
      </c>
      <c r="V90">
        <v>22.9404</v>
      </c>
      <c r="W90">
        <v>26.702625599999998</v>
      </c>
      <c r="X90">
        <v>350</v>
      </c>
      <c r="Y90">
        <v>0</v>
      </c>
      <c r="Z90">
        <v>0</v>
      </c>
      <c r="AA90">
        <v>9345.9189599999991</v>
      </c>
    </row>
    <row r="91" spans="1:27">
      <c r="A91">
        <v>88</v>
      </c>
      <c r="B91" t="s">
        <v>35</v>
      </c>
      <c r="C91" t="s">
        <v>36</v>
      </c>
      <c r="D91" t="s">
        <v>110</v>
      </c>
      <c r="E91" t="s">
        <v>71</v>
      </c>
      <c r="F91" t="s">
        <v>16</v>
      </c>
      <c r="G91">
        <v>17.515000000000001</v>
      </c>
      <c r="H91" t="s">
        <v>18</v>
      </c>
      <c r="I91" t="s">
        <v>121</v>
      </c>
      <c r="J91">
        <v>30</v>
      </c>
      <c r="K91" t="s">
        <v>99</v>
      </c>
      <c r="L91" t="s">
        <v>100</v>
      </c>
      <c r="M91" t="s">
        <v>37</v>
      </c>
      <c r="N91" t="s">
        <v>111</v>
      </c>
      <c r="O91" t="s">
        <v>112</v>
      </c>
      <c r="P91" t="s">
        <v>103</v>
      </c>
      <c r="Q91">
        <v>200001</v>
      </c>
      <c r="R91" t="s">
        <v>38</v>
      </c>
      <c r="S91">
        <v>1000</v>
      </c>
      <c r="V91">
        <v>1000</v>
      </c>
      <c r="W91">
        <v>1164</v>
      </c>
      <c r="X91">
        <v>700</v>
      </c>
      <c r="Y91">
        <v>0</v>
      </c>
      <c r="Z91">
        <v>0</v>
      </c>
      <c r="AA91">
        <v>814800</v>
      </c>
    </row>
    <row r="92" spans="1:27">
      <c r="A92">
        <v>89</v>
      </c>
      <c r="B92" t="s">
        <v>35</v>
      </c>
      <c r="C92" t="s">
        <v>36</v>
      </c>
      <c r="D92" t="s">
        <v>110</v>
      </c>
      <c r="E92" t="s">
        <v>71</v>
      </c>
      <c r="F92" t="s">
        <v>23</v>
      </c>
      <c r="G92">
        <v>20</v>
      </c>
      <c r="H92" t="s">
        <v>25</v>
      </c>
      <c r="I92" t="s">
        <v>104</v>
      </c>
      <c r="J92">
        <v>40</v>
      </c>
      <c r="K92" t="s">
        <v>99</v>
      </c>
      <c r="L92" t="s">
        <v>105</v>
      </c>
      <c r="M92" t="s">
        <v>40</v>
      </c>
      <c r="N92" t="s">
        <v>113</v>
      </c>
      <c r="O92" t="s">
        <v>112</v>
      </c>
      <c r="P92" t="s">
        <v>103</v>
      </c>
      <c r="Q92">
        <v>200001</v>
      </c>
      <c r="R92" t="s">
        <v>38</v>
      </c>
      <c r="S92">
        <v>800</v>
      </c>
      <c r="V92">
        <v>800</v>
      </c>
      <c r="W92">
        <v>931.19999999999993</v>
      </c>
      <c r="X92">
        <v>1600</v>
      </c>
      <c r="Y92">
        <v>0</v>
      </c>
      <c r="Z92">
        <v>0</v>
      </c>
      <c r="AA92">
        <v>1489920</v>
      </c>
    </row>
    <row r="93" spans="1:27">
      <c r="A93">
        <v>90</v>
      </c>
      <c r="B93" t="s">
        <v>35</v>
      </c>
      <c r="C93" t="s">
        <v>36</v>
      </c>
      <c r="D93" t="s">
        <v>110</v>
      </c>
      <c r="E93" t="s">
        <v>71</v>
      </c>
      <c r="F93" t="s">
        <v>29</v>
      </c>
      <c r="G93">
        <v>18</v>
      </c>
      <c r="H93" t="s">
        <v>31</v>
      </c>
      <c r="I93" t="s">
        <v>107</v>
      </c>
      <c r="J93">
        <v>25</v>
      </c>
      <c r="K93" t="s">
        <v>99</v>
      </c>
      <c r="L93" t="s">
        <v>108</v>
      </c>
      <c r="M93" t="s">
        <v>43</v>
      </c>
      <c r="N93" t="s">
        <v>117</v>
      </c>
      <c r="O93" t="s">
        <v>112</v>
      </c>
      <c r="P93" t="s">
        <v>103</v>
      </c>
      <c r="Q93">
        <v>200001</v>
      </c>
      <c r="R93" t="s">
        <v>38</v>
      </c>
      <c r="S93">
        <v>950</v>
      </c>
      <c r="V93">
        <v>950</v>
      </c>
      <c r="W93">
        <v>1105.8</v>
      </c>
      <c r="X93">
        <v>1000</v>
      </c>
      <c r="Y93">
        <v>0</v>
      </c>
      <c r="Z93">
        <v>0</v>
      </c>
      <c r="AA93">
        <v>1105800</v>
      </c>
    </row>
    <row r="94" spans="1:27">
      <c r="A94">
        <v>91</v>
      </c>
      <c r="B94" t="s">
        <v>45</v>
      </c>
      <c r="C94" t="s">
        <v>46</v>
      </c>
      <c r="D94" t="s">
        <v>123</v>
      </c>
      <c r="E94" t="s">
        <v>71</v>
      </c>
      <c r="F94" t="s">
        <v>16</v>
      </c>
      <c r="G94">
        <v>15</v>
      </c>
      <c r="H94" t="s">
        <v>18</v>
      </c>
      <c r="I94" t="s">
        <v>98</v>
      </c>
      <c r="J94">
        <v>30</v>
      </c>
      <c r="K94" t="s">
        <v>99</v>
      </c>
      <c r="L94" t="s">
        <v>100</v>
      </c>
      <c r="M94" t="s">
        <v>48</v>
      </c>
      <c r="N94" t="s">
        <v>124</v>
      </c>
      <c r="O94" t="s">
        <v>125</v>
      </c>
      <c r="P94" t="s">
        <v>126</v>
      </c>
      <c r="Q94">
        <v>20095</v>
      </c>
      <c r="R94" t="s">
        <v>49</v>
      </c>
      <c r="S94">
        <v>1100</v>
      </c>
      <c r="V94">
        <v>1100</v>
      </c>
      <c r="W94">
        <v>1280.3999999999999</v>
      </c>
      <c r="X94">
        <v>180</v>
      </c>
      <c r="Y94">
        <v>0</v>
      </c>
      <c r="Z94">
        <v>0</v>
      </c>
      <c r="AA94">
        <v>230471.99999999997</v>
      </c>
    </row>
    <row r="95" spans="1:27">
      <c r="A95">
        <v>92</v>
      </c>
      <c r="B95" t="s">
        <v>45</v>
      </c>
      <c r="C95" t="s">
        <v>46</v>
      </c>
      <c r="D95" t="s">
        <v>123</v>
      </c>
      <c r="E95" t="s">
        <v>71</v>
      </c>
      <c r="F95" t="s">
        <v>23</v>
      </c>
      <c r="G95">
        <v>20</v>
      </c>
      <c r="H95" t="s">
        <v>25</v>
      </c>
      <c r="I95" t="s">
        <v>104</v>
      </c>
      <c r="J95">
        <v>64.37</v>
      </c>
      <c r="K95" t="s">
        <v>115</v>
      </c>
      <c r="L95" t="s">
        <v>120</v>
      </c>
      <c r="M95" t="s">
        <v>51</v>
      </c>
      <c r="N95" t="s">
        <v>127</v>
      </c>
      <c r="O95" t="s">
        <v>125</v>
      </c>
      <c r="P95" t="s">
        <v>126</v>
      </c>
      <c r="Q95">
        <v>20095</v>
      </c>
      <c r="R95" t="s">
        <v>49</v>
      </c>
      <c r="S95">
        <v>900</v>
      </c>
      <c r="V95">
        <v>900</v>
      </c>
      <c r="W95">
        <v>1047.5999999999999</v>
      </c>
      <c r="X95">
        <v>300</v>
      </c>
      <c r="Y95">
        <v>0</v>
      </c>
      <c r="Z95">
        <v>0</v>
      </c>
      <c r="AA95">
        <v>314280</v>
      </c>
    </row>
    <row r="96" spans="1:27">
      <c r="A96">
        <v>93</v>
      </c>
      <c r="B96" t="s">
        <v>45</v>
      </c>
      <c r="C96" t="s">
        <v>46</v>
      </c>
      <c r="D96" t="s">
        <v>123</v>
      </c>
      <c r="E96" t="s">
        <v>71</v>
      </c>
      <c r="F96" t="s">
        <v>29</v>
      </c>
      <c r="G96">
        <v>18</v>
      </c>
      <c r="H96" t="s">
        <v>31</v>
      </c>
      <c r="I96" t="s">
        <v>107</v>
      </c>
      <c r="J96">
        <v>25</v>
      </c>
      <c r="K96" t="s">
        <v>99</v>
      </c>
      <c r="L96" t="s">
        <v>108</v>
      </c>
      <c r="M96" t="s">
        <v>53</v>
      </c>
      <c r="N96" t="s">
        <v>128</v>
      </c>
      <c r="O96" t="s">
        <v>125</v>
      </c>
      <c r="P96" t="s">
        <v>126</v>
      </c>
      <c r="Q96">
        <v>20095</v>
      </c>
      <c r="R96" t="s">
        <v>49</v>
      </c>
      <c r="S96">
        <v>1050</v>
      </c>
      <c r="V96">
        <v>1050</v>
      </c>
      <c r="W96">
        <v>1222.1999999999998</v>
      </c>
      <c r="X96">
        <v>230</v>
      </c>
      <c r="Y96">
        <v>0</v>
      </c>
      <c r="Z96">
        <v>0</v>
      </c>
      <c r="AA96">
        <v>281105.99999999994</v>
      </c>
    </row>
    <row r="97" spans="1:27">
      <c r="A97">
        <v>94</v>
      </c>
      <c r="B97" t="s">
        <v>55</v>
      </c>
      <c r="C97" t="s">
        <v>56</v>
      </c>
      <c r="D97" t="s">
        <v>129</v>
      </c>
      <c r="E97" t="s">
        <v>71</v>
      </c>
      <c r="F97" t="s">
        <v>16</v>
      </c>
      <c r="G97">
        <v>15</v>
      </c>
      <c r="H97" t="s">
        <v>18</v>
      </c>
      <c r="I97" t="s">
        <v>98</v>
      </c>
      <c r="J97">
        <v>30</v>
      </c>
      <c r="K97" t="s">
        <v>99</v>
      </c>
      <c r="L97" t="s">
        <v>100</v>
      </c>
      <c r="M97" t="s">
        <v>57</v>
      </c>
      <c r="N97" t="s">
        <v>130</v>
      </c>
      <c r="O97" t="s">
        <v>131</v>
      </c>
      <c r="P97" t="s">
        <v>126</v>
      </c>
      <c r="Q97">
        <v>75005</v>
      </c>
      <c r="R97" t="s">
        <v>58</v>
      </c>
      <c r="U97">
        <v>30000</v>
      </c>
      <c r="V97">
        <v>285.60000000000002</v>
      </c>
      <c r="W97">
        <v>332.4384</v>
      </c>
      <c r="X97">
        <v>150</v>
      </c>
      <c r="Y97">
        <v>0</v>
      </c>
      <c r="Z97">
        <v>0</v>
      </c>
      <c r="AA97">
        <v>49865.760000000002</v>
      </c>
    </row>
    <row r="98" spans="1:27">
      <c r="A98">
        <v>95</v>
      </c>
      <c r="B98" t="s">
        <v>55</v>
      </c>
      <c r="C98" t="s">
        <v>56</v>
      </c>
      <c r="D98" t="s">
        <v>129</v>
      </c>
      <c r="E98" t="s">
        <v>71</v>
      </c>
      <c r="F98" t="s">
        <v>23</v>
      </c>
      <c r="G98">
        <v>20</v>
      </c>
      <c r="H98" t="s">
        <v>25</v>
      </c>
      <c r="I98" t="s">
        <v>104</v>
      </c>
      <c r="J98">
        <v>40</v>
      </c>
      <c r="K98" t="s">
        <v>99</v>
      </c>
      <c r="L98" t="s">
        <v>105</v>
      </c>
      <c r="M98" t="s">
        <v>61</v>
      </c>
      <c r="N98" t="s">
        <v>132</v>
      </c>
      <c r="O98" t="s">
        <v>131</v>
      </c>
      <c r="P98" t="s">
        <v>126</v>
      </c>
      <c r="Q98">
        <v>75005</v>
      </c>
      <c r="R98" t="s">
        <v>58</v>
      </c>
      <c r="U98">
        <v>30000</v>
      </c>
      <c r="V98">
        <v>285.60000000000002</v>
      </c>
      <c r="W98">
        <v>332.4384</v>
      </c>
      <c r="X98">
        <v>280</v>
      </c>
      <c r="Y98">
        <v>0</v>
      </c>
      <c r="Z98">
        <v>0</v>
      </c>
      <c r="AA98">
        <v>93082.752000000008</v>
      </c>
    </row>
    <row r="99" spans="1:27">
      <c r="A99">
        <v>96</v>
      </c>
      <c r="B99" t="s">
        <v>55</v>
      </c>
      <c r="C99" t="s">
        <v>56</v>
      </c>
      <c r="D99" t="s">
        <v>129</v>
      </c>
      <c r="E99" t="s">
        <v>71</v>
      </c>
      <c r="F99" t="s">
        <v>29</v>
      </c>
      <c r="G99">
        <v>18</v>
      </c>
      <c r="H99" t="s">
        <v>31</v>
      </c>
      <c r="I99" t="s">
        <v>107</v>
      </c>
      <c r="J99">
        <v>25</v>
      </c>
      <c r="K99" t="s">
        <v>99</v>
      </c>
      <c r="L99" t="s">
        <v>108</v>
      </c>
      <c r="M99" t="s">
        <v>63</v>
      </c>
      <c r="N99" t="s">
        <v>133</v>
      </c>
      <c r="O99" t="s">
        <v>131</v>
      </c>
      <c r="P99" t="s">
        <v>126</v>
      </c>
      <c r="Q99">
        <v>75005</v>
      </c>
      <c r="R99" t="s">
        <v>58</v>
      </c>
      <c r="U99">
        <v>25000</v>
      </c>
      <c r="V99">
        <v>238.00000000000003</v>
      </c>
      <c r="W99">
        <v>277.03200000000004</v>
      </c>
      <c r="X99">
        <v>290</v>
      </c>
      <c r="Y99">
        <v>0</v>
      </c>
      <c r="Z99">
        <v>0</v>
      </c>
      <c r="AA99">
        <v>80339.280000000013</v>
      </c>
    </row>
    <row r="100" spans="1:27">
      <c r="A100">
        <v>97</v>
      </c>
      <c r="B100" t="s">
        <v>13</v>
      </c>
      <c r="C100" t="s">
        <v>14</v>
      </c>
      <c r="D100" t="s">
        <v>97</v>
      </c>
      <c r="E100" t="s">
        <v>72</v>
      </c>
      <c r="F100" t="s">
        <v>16</v>
      </c>
      <c r="G100">
        <v>15</v>
      </c>
      <c r="H100" t="s">
        <v>18</v>
      </c>
      <c r="I100" t="s">
        <v>98</v>
      </c>
      <c r="J100">
        <v>30</v>
      </c>
      <c r="K100" t="s">
        <v>99</v>
      </c>
      <c r="L100" t="s">
        <v>100</v>
      </c>
      <c r="M100" t="s">
        <v>20</v>
      </c>
      <c r="N100" t="s">
        <v>101</v>
      </c>
      <c r="O100" t="s">
        <v>102</v>
      </c>
      <c r="P100" t="s">
        <v>103</v>
      </c>
      <c r="Q100">
        <v>560001</v>
      </c>
      <c r="R100" t="s">
        <v>21</v>
      </c>
      <c r="U100">
        <v>22000</v>
      </c>
      <c r="V100">
        <v>209.44000000000003</v>
      </c>
      <c r="W100">
        <v>243.78816</v>
      </c>
      <c r="X100">
        <v>180</v>
      </c>
      <c r="Y100">
        <v>0</v>
      </c>
      <c r="Z100">
        <v>0</v>
      </c>
      <c r="AA100">
        <v>43881.868800000004</v>
      </c>
    </row>
    <row r="101" spans="1:27">
      <c r="A101">
        <v>98</v>
      </c>
      <c r="B101" t="s">
        <v>13</v>
      </c>
      <c r="C101" t="s">
        <v>14</v>
      </c>
      <c r="D101" t="s">
        <v>97</v>
      </c>
      <c r="E101" t="s">
        <v>72</v>
      </c>
      <c r="F101" t="s">
        <v>23</v>
      </c>
      <c r="G101">
        <v>20</v>
      </c>
      <c r="H101" t="s">
        <v>25</v>
      </c>
      <c r="I101" t="s">
        <v>104</v>
      </c>
      <c r="J101">
        <v>40</v>
      </c>
      <c r="K101" t="s">
        <v>99</v>
      </c>
      <c r="L101" t="s">
        <v>105</v>
      </c>
      <c r="M101" t="s">
        <v>27</v>
      </c>
      <c r="N101" t="s">
        <v>106</v>
      </c>
      <c r="O101" t="s">
        <v>102</v>
      </c>
      <c r="P101" t="s">
        <v>103</v>
      </c>
      <c r="Q101">
        <v>560001</v>
      </c>
      <c r="R101" t="s">
        <v>21</v>
      </c>
      <c r="T101">
        <v>5000</v>
      </c>
      <c r="V101">
        <v>27.31</v>
      </c>
      <c r="W101">
        <v>31.788839999999997</v>
      </c>
      <c r="X101">
        <v>500</v>
      </c>
      <c r="Y101">
        <v>0</v>
      </c>
      <c r="Z101">
        <v>0</v>
      </c>
      <c r="AA101">
        <v>15894.419999999998</v>
      </c>
    </row>
    <row r="102" spans="1:27">
      <c r="A102">
        <v>99</v>
      </c>
      <c r="B102" t="s">
        <v>13</v>
      </c>
      <c r="C102" t="s">
        <v>14</v>
      </c>
      <c r="D102" t="s">
        <v>97</v>
      </c>
      <c r="E102" t="s">
        <v>72</v>
      </c>
      <c r="F102" t="s">
        <v>29</v>
      </c>
      <c r="G102">
        <v>18</v>
      </c>
      <c r="H102" t="s">
        <v>31</v>
      </c>
      <c r="I102" t="s">
        <v>107</v>
      </c>
      <c r="J102">
        <v>25</v>
      </c>
      <c r="K102" t="s">
        <v>99</v>
      </c>
      <c r="L102" t="s">
        <v>108</v>
      </c>
      <c r="M102" t="s">
        <v>33</v>
      </c>
      <c r="N102" t="s">
        <v>109</v>
      </c>
      <c r="O102" t="s">
        <v>102</v>
      </c>
      <c r="P102" t="s">
        <v>103</v>
      </c>
      <c r="Q102">
        <v>560001</v>
      </c>
      <c r="R102" t="s">
        <v>21</v>
      </c>
      <c r="T102">
        <v>3500</v>
      </c>
      <c r="V102">
        <v>19.117000000000001</v>
      </c>
      <c r="W102">
        <v>22.252188</v>
      </c>
      <c r="X102">
        <v>300</v>
      </c>
      <c r="Y102">
        <v>0</v>
      </c>
      <c r="Z102">
        <v>0</v>
      </c>
      <c r="AA102">
        <v>6675.6563999999998</v>
      </c>
    </row>
    <row r="103" spans="1:27">
      <c r="A103">
        <v>100</v>
      </c>
      <c r="B103" t="s">
        <v>35</v>
      </c>
      <c r="C103" t="s">
        <v>36</v>
      </c>
      <c r="D103" t="s">
        <v>110</v>
      </c>
      <c r="E103" t="s">
        <v>72</v>
      </c>
      <c r="F103" t="s">
        <v>16</v>
      </c>
      <c r="G103">
        <v>15</v>
      </c>
      <c r="H103" t="s">
        <v>18</v>
      </c>
      <c r="I103" t="s">
        <v>98</v>
      </c>
      <c r="J103">
        <v>30</v>
      </c>
      <c r="K103" t="s">
        <v>99</v>
      </c>
      <c r="L103" t="s">
        <v>100</v>
      </c>
      <c r="M103" t="s">
        <v>37</v>
      </c>
      <c r="N103" t="s">
        <v>111</v>
      </c>
      <c r="O103" t="s">
        <v>112</v>
      </c>
      <c r="P103" t="s">
        <v>103</v>
      </c>
      <c r="Q103">
        <v>200001</v>
      </c>
      <c r="R103" t="s">
        <v>38</v>
      </c>
      <c r="T103">
        <v>4200</v>
      </c>
      <c r="V103">
        <v>22.9404</v>
      </c>
      <c r="W103">
        <v>26.702625599999998</v>
      </c>
      <c r="X103">
        <v>600</v>
      </c>
      <c r="Y103">
        <v>0</v>
      </c>
      <c r="Z103">
        <v>0</v>
      </c>
      <c r="AA103">
        <v>16021.575359999999</v>
      </c>
    </row>
    <row r="104" spans="1:27">
      <c r="A104">
        <v>101</v>
      </c>
      <c r="B104" t="s">
        <v>35</v>
      </c>
      <c r="C104" t="s">
        <v>36</v>
      </c>
      <c r="D104" t="s">
        <v>110</v>
      </c>
      <c r="E104" t="s">
        <v>72</v>
      </c>
      <c r="F104" t="s">
        <v>23</v>
      </c>
      <c r="G104">
        <v>20</v>
      </c>
      <c r="H104" t="s">
        <v>25</v>
      </c>
      <c r="I104" t="s">
        <v>104</v>
      </c>
      <c r="J104">
        <v>40</v>
      </c>
      <c r="K104" t="s">
        <v>99</v>
      </c>
      <c r="L104" t="s">
        <v>105</v>
      </c>
      <c r="M104" t="s">
        <v>40</v>
      </c>
      <c r="N104" t="s">
        <v>113</v>
      </c>
      <c r="O104" t="s">
        <v>112</v>
      </c>
      <c r="P104" t="s">
        <v>103</v>
      </c>
      <c r="Q104">
        <v>200001</v>
      </c>
      <c r="R104" t="s">
        <v>38</v>
      </c>
      <c r="S104">
        <v>1000</v>
      </c>
      <c r="V104">
        <v>1000</v>
      </c>
      <c r="W104">
        <v>1164</v>
      </c>
      <c r="X104">
        <v>1400</v>
      </c>
      <c r="Y104">
        <v>0</v>
      </c>
      <c r="Z104">
        <v>0</v>
      </c>
      <c r="AA104">
        <v>1629600</v>
      </c>
    </row>
    <row r="105" spans="1:27">
      <c r="A105">
        <v>102</v>
      </c>
      <c r="B105" t="s">
        <v>35</v>
      </c>
      <c r="C105" t="s">
        <v>36</v>
      </c>
      <c r="D105" t="s">
        <v>110</v>
      </c>
      <c r="E105" t="s">
        <v>72</v>
      </c>
      <c r="F105" t="s">
        <v>29</v>
      </c>
      <c r="G105">
        <v>18</v>
      </c>
      <c r="H105" t="s">
        <v>31</v>
      </c>
      <c r="I105" t="s">
        <v>107</v>
      </c>
      <c r="J105">
        <v>25</v>
      </c>
      <c r="K105" t="s">
        <v>99</v>
      </c>
      <c r="L105" t="s">
        <v>108</v>
      </c>
      <c r="M105" t="s">
        <v>43</v>
      </c>
      <c r="N105" t="s">
        <v>117</v>
      </c>
      <c r="O105" t="s">
        <v>112</v>
      </c>
      <c r="P105" t="s">
        <v>103</v>
      </c>
      <c r="Q105">
        <v>200001</v>
      </c>
      <c r="R105" t="s">
        <v>38</v>
      </c>
      <c r="S105">
        <v>800</v>
      </c>
      <c r="V105">
        <v>800</v>
      </c>
      <c r="W105">
        <v>931.19999999999993</v>
      </c>
      <c r="X105">
        <v>850</v>
      </c>
      <c r="Y105">
        <v>0</v>
      </c>
      <c r="Z105">
        <v>0</v>
      </c>
      <c r="AA105">
        <v>791520</v>
      </c>
    </row>
    <row r="106" spans="1:27">
      <c r="A106">
        <v>103</v>
      </c>
      <c r="B106" t="s">
        <v>45</v>
      </c>
      <c r="C106" t="s">
        <v>46</v>
      </c>
      <c r="D106" t="s">
        <v>123</v>
      </c>
      <c r="E106" t="s">
        <v>72</v>
      </c>
      <c r="F106" t="s">
        <v>16</v>
      </c>
      <c r="G106">
        <v>15</v>
      </c>
      <c r="H106" t="s">
        <v>18</v>
      </c>
      <c r="I106" t="s">
        <v>98</v>
      </c>
      <c r="J106">
        <v>48.28</v>
      </c>
      <c r="K106" t="s">
        <v>115</v>
      </c>
      <c r="L106" t="s">
        <v>119</v>
      </c>
      <c r="M106" t="s">
        <v>48</v>
      </c>
      <c r="N106" t="s">
        <v>124</v>
      </c>
      <c r="O106" t="s">
        <v>125</v>
      </c>
      <c r="P106" t="s">
        <v>126</v>
      </c>
      <c r="Q106">
        <v>20095</v>
      </c>
      <c r="R106" t="s">
        <v>49</v>
      </c>
      <c r="S106">
        <v>950</v>
      </c>
      <c r="V106">
        <v>950</v>
      </c>
      <c r="W106">
        <v>1105.8</v>
      </c>
      <c r="X106">
        <v>160</v>
      </c>
      <c r="Y106">
        <v>0</v>
      </c>
      <c r="Z106">
        <v>0</v>
      </c>
      <c r="AA106">
        <v>176928</v>
      </c>
    </row>
    <row r="107" spans="1:27">
      <c r="A107">
        <v>104</v>
      </c>
      <c r="B107" t="s">
        <v>45</v>
      </c>
      <c r="C107" t="s">
        <v>46</v>
      </c>
      <c r="D107" t="s">
        <v>123</v>
      </c>
      <c r="E107" t="s">
        <v>72</v>
      </c>
      <c r="F107" t="s">
        <v>23</v>
      </c>
      <c r="G107">
        <v>20</v>
      </c>
      <c r="H107" t="s">
        <v>25</v>
      </c>
      <c r="I107" t="s">
        <v>104</v>
      </c>
      <c r="J107">
        <v>40</v>
      </c>
      <c r="K107" t="s">
        <v>99</v>
      </c>
      <c r="L107" t="s">
        <v>105</v>
      </c>
      <c r="M107" t="s">
        <v>51</v>
      </c>
      <c r="N107" t="s">
        <v>127</v>
      </c>
      <c r="O107" t="s">
        <v>125</v>
      </c>
      <c r="P107" t="s">
        <v>126</v>
      </c>
      <c r="Q107">
        <v>20095</v>
      </c>
      <c r="R107" t="s">
        <v>49</v>
      </c>
      <c r="S107">
        <v>950</v>
      </c>
      <c r="V107">
        <v>950</v>
      </c>
      <c r="W107">
        <v>1105.8</v>
      </c>
      <c r="X107">
        <v>320</v>
      </c>
      <c r="Y107">
        <v>0</v>
      </c>
      <c r="Z107">
        <v>0</v>
      </c>
      <c r="AA107">
        <v>353856</v>
      </c>
    </row>
    <row r="108" spans="1:27">
      <c r="A108">
        <v>105</v>
      </c>
      <c r="B108" t="s">
        <v>45</v>
      </c>
      <c r="C108" t="s">
        <v>46</v>
      </c>
      <c r="D108" t="s">
        <v>123</v>
      </c>
      <c r="E108" t="s">
        <v>72</v>
      </c>
      <c r="F108" t="s">
        <v>29</v>
      </c>
      <c r="G108">
        <v>18</v>
      </c>
      <c r="H108" t="s">
        <v>31</v>
      </c>
      <c r="I108" t="s">
        <v>107</v>
      </c>
      <c r="J108">
        <v>25</v>
      </c>
      <c r="K108" t="s">
        <v>99</v>
      </c>
      <c r="L108" t="s">
        <v>108</v>
      </c>
      <c r="M108" t="s">
        <v>53</v>
      </c>
      <c r="N108" t="s">
        <v>128</v>
      </c>
      <c r="O108" t="s">
        <v>125</v>
      </c>
      <c r="P108" t="s">
        <v>126</v>
      </c>
      <c r="Q108">
        <v>20095</v>
      </c>
      <c r="R108" t="s">
        <v>49</v>
      </c>
      <c r="S108">
        <v>1100</v>
      </c>
      <c r="V108">
        <v>1100</v>
      </c>
      <c r="W108">
        <v>1280.3999999999999</v>
      </c>
      <c r="X108">
        <v>250</v>
      </c>
      <c r="Y108">
        <v>0</v>
      </c>
      <c r="Z108">
        <v>0</v>
      </c>
      <c r="AA108">
        <v>320099.99999999994</v>
      </c>
    </row>
    <row r="109" spans="1:27">
      <c r="A109">
        <v>106</v>
      </c>
      <c r="B109" t="s">
        <v>55</v>
      </c>
      <c r="C109" t="s">
        <v>56</v>
      </c>
      <c r="D109" t="s">
        <v>129</v>
      </c>
      <c r="E109" t="s">
        <v>72</v>
      </c>
      <c r="F109" t="s">
        <v>16</v>
      </c>
      <c r="G109">
        <v>15</v>
      </c>
      <c r="H109" t="s">
        <v>18</v>
      </c>
      <c r="I109" t="s">
        <v>98</v>
      </c>
      <c r="J109">
        <v>30</v>
      </c>
      <c r="K109" t="s">
        <v>99</v>
      </c>
      <c r="L109" t="s">
        <v>100</v>
      </c>
      <c r="M109" t="s">
        <v>57</v>
      </c>
      <c r="N109" t="s">
        <v>130</v>
      </c>
      <c r="O109" t="s">
        <v>131</v>
      </c>
      <c r="P109" t="s">
        <v>126</v>
      </c>
      <c r="Q109">
        <v>75005</v>
      </c>
      <c r="R109" t="s">
        <v>58</v>
      </c>
      <c r="S109">
        <v>900</v>
      </c>
      <c r="V109">
        <v>900</v>
      </c>
      <c r="W109">
        <v>1047.5999999999999</v>
      </c>
      <c r="X109">
        <v>140</v>
      </c>
      <c r="Y109">
        <v>0</v>
      </c>
      <c r="Z109">
        <v>0</v>
      </c>
      <c r="AA109">
        <v>146664</v>
      </c>
    </row>
    <row r="110" spans="1:27">
      <c r="A110">
        <v>107</v>
      </c>
      <c r="B110" t="s">
        <v>55</v>
      </c>
      <c r="C110" t="s">
        <v>56</v>
      </c>
      <c r="D110" t="s">
        <v>129</v>
      </c>
      <c r="E110" t="s">
        <v>72</v>
      </c>
      <c r="F110" t="s">
        <v>23</v>
      </c>
      <c r="G110">
        <v>20</v>
      </c>
      <c r="H110" t="s">
        <v>25</v>
      </c>
      <c r="I110" t="s">
        <v>104</v>
      </c>
      <c r="J110">
        <v>40</v>
      </c>
      <c r="K110" t="s">
        <v>99</v>
      </c>
      <c r="L110" t="s">
        <v>105</v>
      </c>
      <c r="M110" t="s">
        <v>61</v>
      </c>
      <c r="N110" t="s">
        <v>132</v>
      </c>
      <c r="O110" t="s">
        <v>131</v>
      </c>
      <c r="P110" t="s">
        <v>126</v>
      </c>
      <c r="Q110">
        <v>75005</v>
      </c>
      <c r="R110" t="s">
        <v>58</v>
      </c>
      <c r="S110">
        <v>1050</v>
      </c>
      <c r="V110">
        <v>1050</v>
      </c>
      <c r="W110">
        <v>1222.1999999999998</v>
      </c>
      <c r="X110">
        <v>310</v>
      </c>
      <c r="Y110">
        <v>0</v>
      </c>
      <c r="Z110">
        <v>0</v>
      </c>
      <c r="AA110">
        <v>378881.99999999994</v>
      </c>
    </row>
    <row r="111" spans="1:27">
      <c r="A111">
        <v>108</v>
      </c>
      <c r="B111" t="s">
        <v>55</v>
      </c>
      <c r="C111" t="s">
        <v>56</v>
      </c>
      <c r="D111" t="s">
        <v>129</v>
      </c>
      <c r="E111" t="s">
        <v>72</v>
      </c>
      <c r="F111" t="s">
        <v>29</v>
      </c>
      <c r="G111">
        <v>18</v>
      </c>
      <c r="H111" t="s">
        <v>31</v>
      </c>
      <c r="I111" t="s">
        <v>107</v>
      </c>
      <c r="J111">
        <v>25</v>
      </c>
      <c r="K111" t="s">
        <v>99</v>
      </c>
      <c r="L111" t="s">
        <v>108</v>
      </c>
      <c r="M111" t="s">
        <v>63</v>
      </c>
      <c r="N111" t="s">
        <v>133</v>
      </c>
      <c r="O111" t="s">
        <v>131</v>
      </c>
      <c r="P111" t="s">
        <v>126</v>
      </c>
      <c r="Q111">
        <v>75005</v>
      </c>
      <c r="R111" t="s">
        <v>58</v>
      </c>
      <c r="U111">
        <v>30000</v>
      </c>
      <c r="V111">
        <v>285.60000000000002</v>
      </c>
      <c r="W111">
        <v>332.4384</v>
      </c>
      <c r="X111">
        <v>280</v>
      </c>
      <c r="Y111">
        <v>0</v>
      </c>
      <c r="Z111">
        <v>0</v>
      </c>
      <c r="AA111">
        <v>93082.752000000008</v>
      </c>
    </row>
    <row r="112" spans="1:27">
      <c r="A112">
        <v>109</v>
      </c>
      <c r="B112" t="s">
        <v>13</v>
      </c>
      <c r="C112" t="s">
        <v>14</v>
      </c>
      <c r="D112" t="s">
        <v>97</v>
      </c>
      <c r="E112" t="s">
        <v>73</v>
      </c>
      <c r="F112" t="s">
        <v>16</v>
      </c>
      <c r="G112">
        <v>15</v>
      </c>
      <c r="H112" t="s">
        <v>18</v>
      </c>
      <c r="I112" t="s">
        <v>98</v>
      </c>
      <c r="J112">
        <v>30</v>
      </c>
      <c r="K112" t="s">
        <v>99</v>
      </c>
      <c r="L112" t="s">
        <v>100</v>
      </c>
      <c r="M112" t="s">
        <v>20</v>
      </c>
      <c r="N112" t="s">
        <v>101</v>
      </c>
      <c r="O112" t="s">
        <v>102</v>
      </c>
      <c r="P112" t="s">
        <v>103</v>
      </c>
      <c r="Q112">
        <v>560001</v>
      </c>
      <c r="R112" t="s">
        <v>21</v>
      </c>
      <c r="U112">
        <v>25000</v>
      </c>
      <c r="V112">
        <v>238.00000000000003</v>
      </c>
      <c r="W112">
        <v>277.03200000000004</v>
      </c>
      <c r="X112">
        <v>150</v>
      </c>
      <c r="Y112">
        <v>0</v>
      </c>
      <c r="Z112">
        <v>0</v>
      </c>
      <c r="AA112">
        <v>41554.800000000003</v>
      </c>
    </row>
    <row r="113" spans="1:27">
      <c r="A113">
        <v>110</v>
      </c>
      <c r="B113" t="s">
        <v>13</v>
      </c>
      <c r="C113" t="s">
        <v>14</v>
      </c>
      <c r="D113" t="s">
        <v>97</v>
      </c>
      <c r="E113" t="s">
        <v>73</v>
      </c>
      <c r="F113" t="s">
        <v>23</v>
      </c>
      <c r="G113">
        <v>20</v>
      </c>
      <c r="H113" t="s">
        <v>25</v>
      </c>
      <c r="I113" t="s">
        <v>104</v>
      </c>
      <c r="J113">
        <v>40</v>
      </c>
      <c r="K113" t="s">
        <v>99</v>
      </c>
      <c r="L113" t="s">
        <v>105</v>
      </c>
      <c r="M113" t="s">
        <v>27</v>
      </c>
      <c r="N113" t="s">
        <v>106</v>
      </c>
      <c r="O113" t="s">
        <v>102</v>
      </c>
      <c r="P113" t="s">
        <v>103</v>
      </c>
      <c r="Q113">
        <v>560001</v>
      </c>
      <c r="R113" t="s">
        <v>21</v>
      </c>
      <c r="U113">
        <v>22000</v>
      </c>
      <c r="V113">
        <v>209.44000000000003</v>
      </c>
      <c r="W113">
        <v>243.78816</v>
      </c>
      <c r="X113">
        <v>400</v>
      </c>
      <c r="Y113">
        <v>0</v>
      </c>
      <c r="Z113">
        <v>0</v>
      </c>
      <c r="AA113">
        <v>97515.263999999996</v>
      </c>
    </row>
    <row r="114" spans="1:27">
      <c r="A114">
        <v>111</v>
      </c>
      <c r="B114" t="s">
        <v>13</v>
      </c>
      <c r="C114" t="s">
        <v>14</v>
      </c>
      <c r="D114" t="s">
        <v>97</v>
      </c>
      <c r="E114" t="s">
        <v>73</v>
      </c>
      <c r="F114" t="s">
        <v>29</v>
      </c>
      <c r="G114">
        <v>18</v>
      </c>
      <c r="H114" t="s">
        <v>31</v>
      </c>
      <c r="I114" t="s">
        <v>107</v>
      </c>
      <c r="J114">
        <v>40.229999999999997</v>
      </c>
      <c r="K114" t="s">
        <v>115</v>
      </c>
      <c r="L114" t="s">
        <v>116</v>
      </c>
      <c r="M114" t="s">
        <v>33</v>
      </c>
      <c r="N114" t="s">
        <v>109</v>
      </c>
      <c r="O114" t="s">
        <v>102</v>
      </c>
      <c r="P114" t="s">
        <v>103</v>
      </c>
      <c r="Q114">
        <v>560001</v>
      </c>
      <c r="R114" t="s">
        <v>21</v>
      </c>
      <c r="T114">
        <v>5000</v>
      </c>
      <c r="V114">
        <v>27.31</v>
      </c>
      <c r="W114">
        <v>31.788839999999997</v>
      </c>
      <c r="X114">
        <v>280</v>
      </c>
      <c r="Y114">
        <v>0</v>
      </c>
      <c r="Z114">
        <v>0</v>
      </c>
      <c r="AA114">
        <v>8900.8751999999986</v>
      </c>
    </row>
    <row r="115" spans="1:27">
      <c r="A115">
        <v>112</v>
      </c>
      <c r="B115" t="s">
        <v>35</v>
      </c>
      <c r="C115" t="s">
        <v>36</v>
      </c>
      <c r="D115" t="s">
        <v>110</v>
      </c>
      <c r="E115" t="s">
        <v>73</v>
      </c>
      <c r="F115" t="s">
        <v>16</v>
      </c>
      <c r="G115">
        <v>15</v>
      </c>
      <c r="H115" t="s">
        <v>18</v>
      </c>
      <c r="I115" t="s">
        <v>98</v>
      </c>
      <c r="J115">
        <v>30</v>
      </c>
      <c r="K115" t="s">
        <v>99</v>
      </c>
      <c r="L115" t="s">
        <v>100</v>
      </c>
      <c r="M115" t="s">
        <v>37</v>
      </c>
      <c r="N115" t="s">
        <v>111</v>
      </c>
      <c r="O115" t="s">
        <v>112</v>
      </c>
      <c r="P115" t="s">
        <v>103</v>
      </c>
      <c r="Q115">
        <v>200001</v>
      </c>
      <c r="R115" t="s">
        <v>38</v>
      </c>
      <c r="T115">
        <v>3500</v>
      </c>
      <c r="V115">
        <v>19.117000000000001</v>
      </c>
      <c r="W115">
        <v>22.252188</v>
      </c>
      <c r="X115">
        <v>550</v>
      </c>
      <c r="Y115">
        <v>0</v>
      </c>
      <c r="Z115">
        <v>0</v>
      </c>
      <c r="AA115">
        <v>12238.7034</v>
      </c>
    </row>
    <row r="116" spans="1:27">
      <c r="A116">
        <v>113</v>
      </c>
      <c r="B116" t="s">
        <v>35</v>
      </c>
      <c r="C116" t="s">
        <v>36</v>
      </c>
      <c r="D116" t="s">
        <v>110</v>
      </c>
      <c r="E116" t="s">
        <v>73</v>
      </c>
      <c r="F116" t="s">
        <v>23</v>
      </c>
      <c r="G116">
        <v>20</v>
      </c>
      <c r="H116" t="s">
        <v>25</v>
      </c>
      <c r="I116" t="s">
        <v>104</v>
      </c>
      <c r="J116">
        <v>40</v>
      </c>
      <c r="K116" t="s">
        <v>99</v>
      </c>
      <c r="L116" t="s">
        <v>105</v>
      </c>
      <c r="M116" t="s">
        <v>40</v>
      </c>
      <c r="N116" t="s">
        <v>113</v>
      </c>
      <c r="O116" t="s">
        <v>112</v>
      </c>
      <c r="P116" t="s">
        <v>103</v>
      </c>
      <c r="Q116">
        <v>200001</v>
      </c>
      <c r="R116" t="s">
        <v>38</v>
      </c>
      <c r="T116">
        <v>4200</v>
      </c>
      <c r="V116">
        <v>22.9404</v>
      </c>
      <c r="W116">
        <v>26.702625599999998</v>
      </c>
      <c r="X116">
        <v>1300</v>
      </c>
      <c r="Y116">
        <v>0</v>
      </c>
      <c r="Z116">
        <v>0</v>
      </c>
      <c r="AA116">
        <v>34713.413279999993</v>
      </c>
    </row>
    <row r="117" spans="1:27">
      <c r="A117">
        <v>114</v>
      </c>
      <c r="B117" t="s">
        <v>35</v>
      </c>
      <c r="C117" t="s">
        <v>36</v>
      </c>
      <c r="D117" t="s">
        <v>110</v>
      </c>
      <c r="E117" t="s">
        <v>73</v>
      </c>
      <c r="F117" t="s">
        <v>29</v>
      </c>
      <c r="G117">
        <v>18</v>
      </c>
      <c r="H117" t="s">
        <v>31</v>
      </c>
      <c r="I117" t="s">
        <v>107</v>
      </c>
      <c r="J117">
        <v>25</v>
      </c>
      <c r="K117" t="s">
        <v>99</v>
      </c>
      <c r="L117" t="s">
        <v>108</v>
      </c>
      <c r="M117" t="s">
        <v>43</v>
      </c>
      <c r="N117" t="s">
        <v>117</v>
      </c>
      <c r="O117" t="s">
        <v>112</v>
      </c>
      <c r="P117" t="s">
        <v>103</v>
      </c>
      <c r="Q117">
        <v>200001</v>
      </c>
      <c r="R117" t="s">
        <v>38</v>
      </c>
      <c r="S117">
        <v>1000</v>
      </c>
      <c r="V117">
        <v>1000</v>
      </c>
      <c r="W117">
        <v>1164</v>
      </c>
      <c r="X117">
        <v>750</v>
      </c>
      <c r="Y117">
        <v>0</v>
      </c>
      <c r="Z117">
        <v>0</v>
      </c>
      <c r="AA117">
        <v>873000</v>
      </c>
    </row>
    <row r="118" spans="1:27">
      <c r="A118">
        <v>115</v>
      </c>
      <c r="B118" t="s">
        <v>45</v>
      </c>
      <c r="C118" t="s">
        <v>46</v>
      </c>
      <c r="D118" t="s">
        <v>123</v>
      </c>
      <c r="E118" t="s">
        <v>73</v>
      </c>
      <c r="F118" t="s">
        <v>16</v>
      </c>
      <c r="G118">
        <v>15</v>
      </c>
      <c r="H118" t="s">
        <v>18</v>
      </c>
      <c r="I118" t="s">
        <v>98</v>
      </c>
      <c r="J118">
        <v>30</v>
      </c>
      <c r="K118" t="s">
        <v>99</v>
      </c>
      <c r="L118" t="s">
        <v>100</v>
      </c>
      <c r="M118" t="s">
        <v>48</v>
      </c>
      <c r="N118" t="s">
        <v>124</v>
      </c>
      <c r="O118" t="s">
        <v>125</v>
      </c>
      <c r="P118" t="s">
        <v>126</v>
      </c>
      <c r="Q118">
        <v>20095</v>
      </c>
      <c r="R118" t="s">
        <v>49</v>
      </c>
      <c r="S118">
        <v>800</v>
      </c>
      <c r="V118">
        <v>800</v>
      </c>
      <c r="W118">
        <v>931.19999999999993</v>
      </c>
      <c r="X118">
        <v>140</v>
      </c>
      <c r="Y118">
        <v>0</v>
      </c>
      <c r="Z118">
        <v>0</v>
      </c>
      <c r="AA118">
        <v>130367.99999999999</v>
      </c>
    </row>
    <row r="119" spans="1:27">
      <c r="A119">
        <v>116</v>
      </c>
      <c r="B119" t="s">
        <v>45</v>
      </c>
      <c r="C119" t="s">
        <v>46</v>
      </c>
      <c r="D119" t="s">
        <v>123</v>
      </c>
      <c r="E119" t="s">
        <v>73</v>
      </c>
      <c r="F119" t="s">
        <v>23</v>
      </c>
      <c r="G119">
        <v>17.515000000000001</v>
      </c>
      <c r="H119" t="s">
        <v>25</v>
      </c>
      <c r="I119" t="s">
        <v>118</v>
      </c>
      <c r="J119">
        <v>40</v>
      </c>
      <c r="K119" t="s">
        <v>99</v>
      </c>
      <c r="L119" t="s">
        <v>105</v>
      </c>
      <c r="M119" t="s">
        <v>51</v>
      </c>
      <c r="N119" t="s">
        <v>127</v>
      </c>
      <c r="O119" t="s">
        <v>125</v>
      </c>
      <c r="P119" t="s">
        <v>126</v>
      </c>
      <c r="Q119">
        <v>20095</v>
      </c>
      <c r="R119" t="s">
        <v>49</v>
      </c>
      <c r="S119">
        <v>950</v>
      </c>
      <c r="V119">
        <v>950</v>
      </c>
      <c r="W119">
        <v>1105.8</v>
      </c>
      <c r="X119">
        <v>300</v>
      </c>
      <c r="Y119">
        <v>0</v>
      </c>
      <c r="Z119">
        <v>0</v>
      </c>
      <c r="AA119">
        <v>331740</v>
      </c>
    </row>
    <row r="120" spans="1:27">
      <c r="A120">
        <v>117</v>
      </c>
      <c r="B120" t="s">
        <v>45</v>
      </c>
      <c r="C120" t="s">
        <v>46</v>
      </c>
      <c r="D120" t="s">
        <v>123</v>
      </c>
      <c r="E120" t="s">
        <v>73</v>
      </c>
      <c r="F120" t="s">
        <v>29</v>
      </c>
      <c r="G120">
        <v>18</v>
      </c>
      <c r="H120" t="s">
        <v>31</v>
      </c>
      <c r="I120" t="s">
        <v>107</v>
      </c>
      <c r="J120">
        <v>25</v>
      </c>
      <c r="K120" t="s">
        <v>99</v>
      </c>
      <c r="L120" t="s">
        <v>108</v>
      </c>
      <c r="M120" t="s">
        <v>53</v>
      </c>
      <c r="N120" t="s">
        <v>128</v>
      </c>
      <c r="O120" t="s">
        <v>125</v>
      </c>
      <c r="P120" t="s">
        <v>126</v>
      </c>
      <c r="Q120">
        <v>20095</v>
      </c>
      <c r="R120" t="s">
        <v>49</v>
      </c>
      <c r="S120">
        <v>950</v>
      </c>
      <c r="V120">
        <v>950</v>
      </c>
      <c r="W120">
        <v>1105.8</v>
      </c>
      <c r="X120">
        <v>220</v>
      </c>
      <c r="Y120">
        <v>0</v>
      </c>
      <c r="Z120">
        <v>0</v>
      </c>
      <c r="AA120">
        <v>243276</v>
      </c>
    </row>
    <row r="121" spans="1:27">
      <c r="A121">
        <v>118</v>
      </c>
      <c r="B121" t="s">
        <v>55</v>
      </c>
      <c r="C121" t="s">
        <v>56</v>
      </c>
      <c r="D121" t="s">
        <v>129</v>
      </c>
      <c r="E121" t="s">
        <v>73</v>
      </c>
      <c r="F121" t="s">
        <v>16</v>
      </c>
      <c r="G121">
        <v>15</v>
      </c>
      <c r="H121" t="s">
        <v>18</v>
      </c>
      <c r="I121" t="s">
        <v>98</v>
      </c>
      <c r="J121">
        <v>30</v>
      </c>
      <c r="K121" t="s">
        <v>99</v>
      </c>
      <c r="L121" t="s">
        <v>100</v>
      </c>
      <c r="M121" t="s">
        <v>57</v>
      </c>
      <c r="N121" t="s">
        <v>130</v>
      </c>
      <c r="O121" t="s">
        <v>131</v>
      </c>
      <c r="P121" t="s">
        <v>126</v>
      </c>
      <c r="Q121">
        <v>75005</v>
      </c>
      <c r="R121" t="s">
        <v>58</v>
      </c>
      <c r="S121">
        <v>1100</v>
      </c>
      <c r="V121">
        <v>1100</v>
      </c>
      <c r="W121">
        <v>1280.3999999999999</v>
      </c>
      <c r="X121">
        <v>130</v>
      </c>
      <c r="Y121">
        <v>0</v>
      </c>
      <c r="Z121">
        <v>0</v>
      </c>
      <c r="AA121">
        <v>166451.99999999997</v>
      </c>
    </row>
    <row r="122" spans="1:27">
      <c r="A122">
        <v>119</v>
      </c>
      <c r="B122" t="s">
        <v>55</v>
      </c>
      <c r="C122" t="s">
        <v>56</v>
      </c>
      <c r="D122" t="s">
        <v>129</v>
      </c>
      <c r="E122" t="s">
        <v>73</v>
      </c>
      <c r="F122" t="s">
        <v>23</v>
      </c>
      <c r="G122">
        <v>20</v>
      </c>
      <c r="H122" t="s">
        <v>25</v>
      </c>
      <c r="I122" t="s">
        <v>104</v>
      </c>
      <c r="J122">
        <v>40</v>
      </c>
      <c r="K122" t="s">
        <v>99</v>
      </c>
      <c r="L122" t="s">
        <v>105</v>
      </c>
      <c r="M122" t="s">
        <v>61</v>
      </c>
      <c r="N122" t="s">
        <v>132</v>
      </c>
      <c r="O122" t="s">
        <v>131</v>
      </c>
      <c r="P122" t="s">
        <v>126</v>
      </c>
      <c r="Q122">
        <v>75005</v>
      </c>
      <c r="R122" t="s">
        <v>58</v>
      </c>
      <c r="S122">
        <v>900</v>
      </c>
      <c r="V122">
        <v>900</v>
      </c>
      <c r="W122">
        <v>1047.5999999999999</v>
      </c>
      <c r="X122">
        <v>290</v>
      </c>
      <c r="Y122">
        <v>0</v>
      </c>
      <c r="Z122">
        <v>0</v>
      </c>
      <c r="AA122">
        <v>303804</v>
      </c>
    </row>
    <row r="123" spans="1:27">
      <c r="A123">
        <v>120</v>
      </c>
      <c r="B123" t="s">
        <v>55</v>
      </c>
      <c r="C123" t="s">
        <v>56</v>
      </c>
      <c r="D123" t="s">
        <v>129</v>
      </c>
      <c r="E123" t="s">
        <v>73</v>
      </c>
      <c r="F123" t="s">
        <v>29</v>
      </c>
      <c r="G123">
        <v>18</v>
      </c>
      <c r="H123" t="s">
        <v>31</v>
      </c>
      <c r="I123" t="s">
        <v>107</v>
      </c>
      <c r="J123">
        <v>25</v>
      </c>
      <c r="K123" t="s">
        <v>99</v>
      </c>
      <c r="L123" t="s">
        <v>108</v>
      </c>
      <c r="M123" t="s">
        <v>63</v>
      </c>
      <c r="N123" t="s">
        <v>133</v>
      </c>
      <c r="O123" t="s">
        <v>131</v>
      </c>
      <c r="P123" t="s">
        <v>126</v>
      </c>
      <c r="Q123">
        <v>75005</v>
      </c>
      <c r="R123" t="s">
        <v>58</v>
      </c>
      <c r="S123">
        <v>1050</v>
      </c>
      <c r="V123">
        <v>1050</v>
      </c>
      <c r="W123">
        <v>1222.1999999999998</v>
      </c>
      <c r="X123">
        <v>270</v>
      </c>
      <c r="Y123">
        <v>0</v>
      </c>
      <c r="Z123">
        <v>0</v>
      </c>
      <c r="AA123">
        <v>329993.99999999994</v>
      </c>
    </row>
    <row r="124" spans="1:27">
      <c r="A124">
        <v>121</v>
      </c>
      <c r="B124" t="s">
        <v>13</v>
      </c>
      <c r="C124" t="s">
        <v>14</v>
      </c>
      <c r="D124" t="s">
        <v>97</v>
      </c>
      <c r="E124" t="s">
        <v>74</v>
      </c>
      <c r="F124" t="s">
        <v>16</v>
      </c>
      <c r="G124">
        <v>15</v>
      </c>
      <c r="H124" t="s">
        <v>18</v>
      </c>
      <c r="I124" t="s">
        <v>98</v>
      </c>
      <c r="J124">
        <v>30</v>
      </c>
      <c r="K124" t="s">
        <v>99</v>
      </c>
      <c r="L124" t="s">
        <v>100</v>
      </c>
      <c r="M124" t="s">
        <v>20</v>
      </c>
      <c r="N124" t="s">
        <v>101</v>
      </c>
      <c r="O124" t="s">
        <v>102</v>
      </c>
      <c r="P124" t="s">
        <v>103</v>
      </c>
      <c r="Q124">
        <v>560001</v>
      </c>
      <c r="R124" t="s">
        <v>21</v>
      </c>
      <c r="U124">
        <v>30000</v>
      </c>
      <c r="V124">
        <v>285.60000000000002</v>
      </c>
      <c r="W124">
        <v>332.4384</v>
      </c>
      <c r="X124">
        <v>180</v>
      </c>
      <c r="Y124">
        <v>15</v>
      </c>
      <c r="Z124">
        <v>0.15</v>
      </c>
      <c r="AA124">
        <v>50863.075199999999</v>
      </c>
    </row>
    <row r="125" spans="1:27">
      <c r="A125">
        <v>122</v>
      </c>
      <c r="B125" t="s">
        <v>13</v>
      </c>
      <c r="C125" t="s">
        <v>14</v>
      </c>
      <c r="D125" t="s">
        <v>97</v>
      </c>
      <c r="E125" t="s">
        <v>74</v>
      </c>
      <c r="F125" t="s">
        <v>23</v>
      </c>
      <c r="G125">
        <v>20</v>
      </c>
      <c r="H125" t="s">
        <v>25</v>
      </c>
      <c r="I125" t="s">
        <v>104</v>
      </c>
      <c r="J125">
        <v>64.37</v>
      </c>
      <c r="K125" t="s">
        <v>115</v>
      </c>
      <c r="L125" t="s">
        <v>120</v>
      </c>
      <c r="M125" t="s">
        <v>27</v>
      </c>
      <c r="N125" t="s">
        <v>106</v>
      </c>
      <c r="O125" t="s">
        <v>102</v>
      </c>
      <c r="P125" t="s">
        <v>103</v>
      </c>
      <c r="Q125">
        <v>560001</v>
      </c>
      <c r="R125" t="s">
        <v>21</v>
      </c>
      <c r="U125">
        <v>25000</v>
      </c>
      <c r="V125">
        <v>238.00000000000003</v>
      </c>
      <c r="W125">
        <v>277.03200000000004</v>
      </c>
      <c r="X125">
        <v>450</v>
      </c>
      <c r="Y125">
        <v>15</v>
      </c>
      <c r="Z125">
        <v>0.15</v>
      </c>
      <c r="AA125">
        <v>105964.74000000002</v>
      </c>
    </row>
    <row r="126" spans="1:27">
      <c r="A126">
        <v>123</v>
      </c>
      <c r="B126" t="s">
        <v>13</v>
      </c>
      <c r="C126" t="s">
        <v>14</v>
      </c>
      <c r="D126" t="s">
        <v>97</v>
      </c>
      <c r="E126" t="s">
        <v>74</v>
      </c>
      <c r="F126" t="s">
        <v>29</v>
      </c>
      <c r="G126">
        <v>18</v>
      </c>
      <c r="H126" t="s">
        <v>31</v>
      </c>
      <c r="I126" t="s">
        <v>107</v>
      </c>
      <c r="J126">
        <v>25</v>
      </c>
      <c r="K126" t="s">
        <v>99</v>
      </c>
      <c r="L126" t="s">
        <v>108</v>
      </c>
      <c r="M126" t="s">
        <v>33</v>
      </c>
      <c r="N126" t="s">
        <v>109</v>
      </c>
      <c r="O126" t="s">
        <v>102</v>
      </c>
      <c r="P126" t="s">
        <v>103</v>
      </c>
      <c r="Q126">
        <v>560001</v>
      </c>
      <c r="R126" t="s">
        <v>21</v>
      </c>
      <c r="U126">
        <v>22000</v>
      </c>
      <c r="V126">
        <v>209.44000000000003</v>
      </c>
      <c r="W126">
        <v>243.78816</v>
      </c>
      <c r="X126">
        <v>300</v>
      </c>
      <c r="Y126">
        <v>15</v>
      </c>
      <c r="Z126">
        <v>0.15</v>
      </c>
      <c r="AA126">
        <v>62165.980800000005</v>
      </c>
    </row>
    <row r="127" spans="1:27">
      <c r="A127">
        <v>124</v>
      </c>
      <c r="B127" t="s">
        <v>35</v>
      </c>
      <c r="C127" t="s">
        <v>36</v>
      </c>
      <c r="D127" t="s">
        <v>110</v>
      </c>
      <c r="E127" t="s">
        <v>74</v>
      </c>
      <c r="F127" t="s">
        <v>16</v>
      </c>
      <c r="G127">
        <v>15</v>
      </c>
      <c r="H127" t="s">
        <v>18</v>
      </c>
      <c r="I127" t="s">
        <v>98</v>
      </c>
      <c r="J127">
        <v>30</v>
      </c>
      <c r="K127" t="s">
        <v>99</v>
      </c>
      <c r="L127" t="s">
        <v>100</v>
      </c>
      <c r="M127" t="s">
        <v>37</v>
      </c>
      <c r="N127" t="s">
        <v>111</v>
      </c>
      <c r="O127" t="s">
        <v>112</v>
      </c>
      <c r="P127" t="s">
        <v>103</v>
      </c>
      <c r="Q127">
        <v>200001</v>
      </c>
      <c r="R127" t="s">
        <v>38</v>
      </c>
      <c r="T127">
        <v>5000</v>
      </c>
      <c r="V127">
        <v>27.31</v>
      </c>
      <c r="W127">
        <v>31.788839999999997</v>
      </c>
      <c r="X127">
        <v>600</v>
      </c>
      <c r="Y127">
        <v>15</v>
      </c>
      <c r="Z127">
        <v>0.15</v>
      </c>
      <c r="AA127">
        <v>16212.308399999996</v>
      </c>
    </row>
    <row r="128" spans="1:27">
      <c r="A128">
        <v>125</v>
      </c>
      <c r="B128" t="s">
        <v>35</v>
      </c>
      <c r="C128" t="s">
        <v>36</v>
      </c>
      <c r="D128" t="s">
        <v>110</v>
      </c>
      <c r="E128" t="s">
        <v>74</v>
      </c>
      <c r="F128" t="s">
        <v>23</v>
      </c>
      <c r="G128">
        <v>20</v>
      </c>
      <c r="H128" t="s">
        <v>25</v>
      </c>
      <c r="I128" t="s">
        <v>104</v>
      </c>
      <c r="J128">
        <v>40</v>
      </c>
      <c r="K128" t="s">
        <v>99</v>
      </c>
      <c r="L128" t="s">
        <v>105</v>
      </c>
      <c r="M128" t="s">
        <v>40</v>
      </c>
      <c r="N128" t="s">
        <v>113</v>
      </c>
      <c r="O128" t="s">
        <v>112</v>
      </c>
      <c r="P128" t="s">
        <v>103</v>
      </c>
      <c r="Q128">
        <v>200001</v>
      </c>
      <c r="R128" t="s">
        <v>38</v>
      </c>
      <c r="T128">
        <v>3500</v>
      </c>
      <c r="V128">
        <v>19.117000000000001</v>
      </c>
      <c r="W128">
        <v>22.252188</v>
      </c>
      <c r="X128">
        <v>1500</v>
      </c>
      <c r="Y128">
        <v>15</v>
      </c>
      <c r="Z128">
        <v>0.15</v>
      </c>
      <c r="AA128">
        <v>28371.539699999998</v>
      </c>
    </row>
    <row r="129" spans="1:27">
      <c r="A129">
        <v>126</v>
      </c>
      <c r="B129" t="s">
        <v>35</v>
      </c>
      <c r="C129" t="s">
        <v>36</v>
      </c>
      <c r="D129" t="s">
        <v>110</v>
      </c>
      <c r="E129" t="s">
        <v>74</v>
      </c>
      <c r="F129" t="s">
        <v>29</v>
      </c>
      <c r="G129">
        <v>18</v>
      </c>
      <c r="H129" t="s">
        <v>31</v>
      </c>
      <c r="I129" t="s">
        <v>107</v>
      </c>
      <c r="J129">
        <v>25</v>
      </c>
      <c r="K129" t="s">
        <v>99</v>
      </c>
      <c r="L129" t="s">
        <v>108</v>
      </c>
      <c r="M129" t="s">
        <v>43</v>
      </c>
      <c r="N129" t="s">
        <v>117</v>
      </c>
      <c r="O129" t="s">
        <v>112</v>
      </c>
      <c r="P129" t="s">
        <v>103</v>
      </c>
      <c r="Q129">
        <v>200001</v>
      </c>
      <c r="R129" t="s">
        <v>38</v>
      </c>
      <c r="T129">
        <v>4200</v>
      </c>
      <c r="V129">
        <v>22.9404</v>
      </c>
      <c r="W129">
        <v>26.702625599999998</v>
      </c>
      <c r="X129">
        <v>800</v>
      </c>
      <c r="Y129">
        <v>15</v>
      </c>
      <c r="Z129">
        <v>0.15</v>
      </c>
      <c r="AA129">
        <v>18157.785407999996</v>
      </c>
    </row>
    <row r="130" spans="1:27">
      <c r="A130">
        <v>127</v>
      </c>
      <c r="B130" t="s">
        <v>45</v>
      </c>
      <c r="C130" t="s">
        <v>46</v>
      </c>
      <c r="D130" t="s">
        <v>123</v>
      </c>
      <c r="E130" t="s">
        <v>74</v>
      </c>
      <c r="F130" t="s">
        <v>16</v>
      </c>
      <c r="G130">
        <v>15</v>
      </c>
      <c r="H130" t="s">
        <v>18</v>
      </c>
      <c r="I130" t="s">
        <v>98</v>
      </c>
      <c r="J130">
        <v>30</v>
      </c>
      <c r="K130" t="s">
        <v>99</v>
      </c>
      <c r="L130" t="s">
        <v>100</v>
      </c>
      <c r="M130" t="s">
        <v>48</v>
      </c>
      <c r="N130" t="s">
        <v>124</v>
      </c>
      <c r="O130" t="s">
        <v>125</v>
      </c>
      <c r="P130" t="s">
        <v>126</v>
      </c>
      <c r="Q130">
        <v>20095</v>
      </c>
      <c r="R130" t="s">
        <v>49</v>
      </c>
      <c r="S130">
        <v>1000</v>
      </c>
      <c r="V130">
        <v>1000</v>
      </c>
      <c r="W130">
        <v>1164</v>
      </c>
      <c r="X130">
        <v>160</v>
      </c>
      <c r="Y130">
        <v>15</v>
      </c>
      <c r="Z130">
        <v>0.15</v>
      </c>
      <c r="AA130">
        <v>158304</v>
      </c>
    </row>
    <row r="131" spans="1:27">
      <c r="A131">
        <v>128</v>
      </c>
      <c r="B131" t="s">
        <v>45</v>
      </c>
      <c r="C131" t="s">
        <v>46</v>
      </c>
      <c r="D131" t="s">
        <v>123</v>
      </c>
      <c r="E131" t="s">
        <v>74</v>
      </c>
      <c r="F131" t="s">
        <v>23</v>
      </c>
      <c r="G131">
        <v>20</v>
      </c>
      <c r="H131" t="s">
        <v>25</v>
      </c>
      <c r="I131" t="s">
        <v>104</v>
      </c>
      <c r="J131">
        <v>40</v>
      </c>
      <c r="K131" t="s">
        <v>99</v>
      </c>
      <c r="L131" t="s">
        <v>105</v>
      </c>
      <c r="M131" t="s">
        <v>51</v>
      </c>
      <c r="N131" t="s">
        <v>127</v>
      </c>
      <c r="O131" t="s">
        <v>125</v>
      </c>
      <c r="P131" t="s">
        <v>126</v>
      </c>
      <c r="Q131">
        <v>20095</v>
      </c>
      <c r="R131" t="s">
        <v>49</v>
      </c>
      <c r="S131">
        <v>800</v>
      </c>
      <c r="V131">
        <v>800</v>
      </c>
      <c r="W131">
        <v>931.19999999999993</v>
      </c>
      <c r="X131">
        <v>320</v>
      </c>
      <c r="Y131">
        <v>15</v>
      </c>
      <c r="Z131">
        <v>0.15</v>
      </c>
      <c r="AA131">
        <v>253286.39999999999</v>
      </c>
    </row>
    <row r="132" spans="1:27">
      <c r="A132">
        <v>129</v>
      </c>
      <c r="B132" t="s">
        <v>45</v>
      </c>
      <c r="C132" t="s">
        <v>46</v>
      </c>
      <c r="D132" t="s">
        <v>123</v>
      </c>
      <c r="E132" t="s">
        <v>74</v>
      </c>
      <c r="F132" t="s">
        <v>29</v>
      </c>
      <c r="G132">
        <v>18</v>
      </c>
      <c r="H132" t="s">
        <v>31</v>
      </c>
      <c r="I132" t="s">
        <v>107</v>
      </c>
      <c r="J132">
        <v>25</v>
      </c>
      <c r="K132" t="s">
        <v>99</v>
      </c>
      <c r="L132" t="s">
        <v>108</v>
      </c>
      <c r="M132" t="s">
        <v>53</v>
      </c>
      <c r="N132" t="s">
        <v>128</v>
      </c>
      <c r="O132" t="s">
        <v>125</v>
      </c>
      <c r="P132" t="s">
        <v>126</v>
      </c>
      <c r="Q132">
        <v>20095</v>
      </c>
      <c r="R132" t="s">
        <v>49</v>
      </c>
      <c r="S132">
        <v>950</v>
      </c>
      <c r="V132">
        <v>950</v>
      </c>
      <c r="W132">
        <v>1105.8</v>
      </c>
      <c r="X132">
        <v>250</v>
      </c>
      <c r="Y132">
        <v>15</v>
      </c>
      <c r="Z132">
        <v>0.15</v>
      </c>
      <c r="AA132">
        <v>234982.5</v>
      </c>
    </row>
    <row r="133" spans="1:27">
      <c r="A133">
        <v>130</v>
      </c>
      <c r="B133" t="s">
        <v>55</v>
      </c>
      <c r="C133" t="s">
        <v>56</v>
      </c>
      <c r="D133" t="s">
        <v>129</v>
      </c>
      <c r="E133" t="s">
        <v>74</v>
      </c>
      <c r="F133" t="s">
        <v>16</v>
      </c>
      <c r="G133">
        <v>15</v>
      </c>
      <c r="H133" t="s">
        <v>18</v>
      </c>
      <c r="I133" t="s">
        <v>98</v>
      </c>
      <c r="J133">
        <v>30</v>
      </c>
      <c r="K133" t="s">
        <v>99</v>
      </c>
      <c r="L133" t="s">
        <v>100</v>
      </c>
      <c r="M133" t="s">
        <v>57</v>
      </c>
      <c r="N133" t="s">
        <v>130</v>
      </c>
      <c r="O133" t="s">
        <v>131</v>
      </c>
      <c r="P133" t="s">
        <v>126</v>
      </c>
      <c r="Q133">
        <v>75005</v>
      </c>
      <c r="R133" t="s">
        <v>58</v>
      </c>
      <c r="S133">
        <v>1100</v>
      </c>
      <c r="V133">
        <v>1100</v>
      </c>
      <c r="W133">
        <v>1280.3999999999999</v>
      </c>
      <c r="X133">
        <v>140</v>
      </c>
      <c r="Y133">
        <v>15</v>
      </c>
      <c r="Z133">
        <v>0.15</v>
      </c>
      <c r="AA133">
        <v>152367.59999999998</v>
      </c>
    </row>
    <row r="134" spans="1:27">
      <c r="A134">
        <v>131</v>
      </c>
      <c r="B134" t="s">
        <v>55</v>
      </c>
      <c r="C134" t="s">
        <v>56</v>
      </c>
      <c r="D134" t="s">
        <v>129</v>
      </c>
      <c r="E134" t="s">
        <v>74</v>
      </c>
      <c r="F134" t="s">
        <v>23</v>
      </c>
      <c r="G134">
        <v>20</v>
      </c>
      <c r="H134" t="s">
        <v>25</v>
      </c>
      <c r="I134" t="s">
        <v>104</v>
      </c>
      <c r="J134">
        <v>40</v>
      </c>
      <c r="K134" t="s">
        <v>99</v>
      </c>
      <c r="L134" t="s">
        <v>105</v>
      </c>
      <c r="M134" t="s">
        <v>61</v>
      </c>
      <c r="N134" t="s">
        <v>132</v>
      </c>
      <c r="O134" t="s">
        <v>131</v>
      </c>
      <c r="P134" t="s">
        <v>126</v>
      </c>
      <c r="Q134">
        <v>75005</v>
      </c>
      <c r="R134" t="s">
        <v>58</v>
      </c>
      <c r="S134">
        <v>900</v>
      </c>
      <c r="V134">
        <v>900</v>
      </c>
      <c r="W134">
        <v>1047.5999999999999</v>
      </c>
      <c r="X134">
        <v>310</v>
      </c>
      <c r="Y134">
        <v>15</v>
      </c>
      <c r="Z134">
        <v>0.15</v>
      </c>
      <c r="AA134">
        <v>276042.59999999998</v>
      </c>
    </row>
    <row r="135" spans="1:27">
      <c r="A135">
        <v>132</v>
      </c>
      <c r="B135" t="s">
        <v>55</v>
      </c>
      <c r="C135" t="s">
        <v>56</v>
      </c>
      <c r="D135" t="s">
        <v>129</v>
      </c>
      <c r="E135" t="s">
        <v>74</v>
      </c>
      <c r="F135" t="s">
        <v>29</v>
      </c>
      <c r="G135">
        <v>18</v>
      </c>
      <c r="H135" t="s">
        <v>31</v>
      </c>
      <c r="I135" t="s">
        <v>107</v>
      </c>
      <c r="J135">
        <v>25</v>
      </c>
      <c r="K135" t="s">
        <v>99</v>
      </c>
      <c r="L135" t="s">
        <v>108</v>
      </c>
      <c r="M135" t="s">
        <v>63</v>
      </c>
      <c r="N135" t="s">
        <v>133</v>
      </c>
      <c r="O135" t="s">
        <v>131</v>
      </c>
      <c r="P135" t="s">
        <v>126</v>
      </c>
      <c r="Q135">
        <v>75005</v>
      </c>
      <c r="R135" t="s">
        <v>58</v>
      </c>
      <c r="S135">
        <v>900</v>
      </c>
      <c r="V135">
        <v>900</v>
      </c>
      <c r="W135">
        <v>1047.5999999999999</v>
      </c>
      <c r="X135">
        <v>290</v>
      </c>
      <c r="Y135">
        <v>15</v>
      </c>
      <c r="Z135">
        <v>0.15</v>
      </c>
      <c r="AA135">
        <v>258233.4</v>
      </c>
    </row>
    <row r="136" spans="1:27">
      <c r="A136">
        <v>133</v>
      </c>
      <c r="B136" t="s">
        <v>13</v>
      </c>
      <c r="C136" t="s">
        <v>14</v>
      </c>
      <c r="D136" t="s">
        <v>97</v>
      </c>
      <c r="E136" t="s">
        <v>75</v>
      </c>
      <c r="F136" t="s">
        <v>16</v>
      </c>
      <c r="G136">
        <v>15</v>
      </c>
      <c r="H136" t="s">
        <v>18</v>
      </c>
      <c r="I136" t="s">
        <v>98</v>
      </c>
      <c r="J136">
        <v>30</v>
      </c>
      <c r="K136" t="s">
        <v>99</v>
      </c>
      <c r="L136" t="s">
        <v>100</v>
      </c>
      <c r="M136" t="s">
        <v>20</v>
      </c>
      <c r="N136" t="s">
        <v>101</v>
      </c>
      <c r="O136" t="s">
        <v>102</v>
      </c>
      <c r="P136" t="s">
        <v>103</v>
      </c>
      <c r="Q136">
        <v>560001</v>
      </c>
      <c r="R136" t="s">
        <v>21</v>
      </c>
      <c r="S136">
        <v>1050</v>
      </c>
      <c r="V136">
        <v>1050</v>
      </c>
      <c r="W136">
        <v>1222.1999999999998</v>
      </c>
      <c r="X136">
        <v>250</v>
      </c>
      <c r="Y136">
        <v>20</v>
      </c>
      <c r="Z136">
        <v>0.2</v>
      </c>
      <c r="AA136">
        <v>244439.99999999997</v>
      </c>
    </row>
    <row r="137" spans="1:27">
      <c r="A137">
        <v>134</v>
      </c>
      <c r="B137" t="s">
        <v>13</v>
      </c>
      <c r="C137" t="s">
        <v>14</v>
      </c>
      <c r="D137" t="s">
        <v>97</v>
      </c>
      <c r="E137" t="s">
        <v>75</v>
      </c>
      <c r="F137" t="s">
        <v>23</v>
      </c>
      <c r="G137">
        <v>20</v>
      </c>
      <c r="H137" t="s">
        <v>25</v>
      </c>
      <c r="I137" t="s">
        <v>104</v>
      </c>
      <c r="J137">
        <v>40</v>
      </c>
      <c r="K137" t="s">
        <v>99</v>
      </c>
      <c r="L137" t="s">
        <v>105</v>
      </c>
      <c r="M137" t="s">
        <v>27</v>
      </c>
      <c r="N137" t="s">
        <v>106</v>
      </c>
      <c r="O137" t="s">
        <v>102</v>
      </c>
      <c r="P137" t="s">
        <v>103</v>
      </c>
      <c r="Q137">
        <v>560001</v>
      </c>
      <c r="R137" t="s">
        <v>21</v>
      </c>
      <c r="U137">
        <v>30000</v>
      </c>
      <c r="V137">
        <v>285.60000000000002</v>
      </c>
      <c r="W137">
        <v>332.4384</v>
      </c>
      <c r="X137">
        <v>600</v>
      </c>
      <c r="Y137">
        <v>20</v>
      </c>
      <c r="Z137">
        <v>0.2</v>
      </c>
      <c r="AA137">
        <v>159570.43200000003</v>
      </c>
    </row>
    <row r="138" spans="1:27">
      <c r="A138">
        <v>135</v>
      </c>
      <c r="B138" t="s">
        <v>13</v>
      </c>
      <c r="C138" t="s">
        <v>14</v>
      </c>
      <c r="D138" t="s">
        <v>97</v>
      </c>
      <c r="E138" t="s">
        <v>75</v>
      </c>
      <c r="F138" t="s">
        <v>29</v>
      </c>
      <c r="G138">
        <v>18</v>
      </c>
      <c r="H138" t="s">
        <v>31</v>
      </c>
      <c r="I138" t="s">
        <v>107</v>
      </c>
      <c r="J138">
        <v>40.229999999999997</v>
      </c>
      <c r="K138" t="s">
        <v>115</v>
      </c>
      <c r="L138" t="s">
        <v>116</v>
      </c>
      <c r="M138" t="s">
        <v>33</v>
      </c>
      <c r="N138" t="s">
        <v>109</v>
      </c>
      <c r="O138" t="s">
        <v>102</v>
      </c>
      <c r="P138" t="s">
        <v>103</v>
      </c>
      <c r="Q138">
        <v>560001</v>
      </c>
      <c r="R138" t="s">
        <v>21</v>
      </c>
      <c r="U138">
        <v>25000</v>
      </c>
      <c r="V138">
        <v>238.00000000000003</v>
      </c>
      <c r="W138">
        <v>277.03200000000004</v>
      </c>
      <c r="X138">
        <v>400</v>
      </c>
      <c r="Y138">
        <v>20</v>
      </c>
      <c r="Z138">
        <v>0.2</v>
      </c>
      <c r="AA138">
        <v>88650.24000000002</v>
      </c>
    </row>
    <row r="139" spans="1:27">
      <c r="A139">
        <v>136</v>
      </c>
      <c r="B139" t="s">
        <v>35</v>
      </c>
      <c r="C139" t="s">
        <v>36</v>
      </c>
      <c r="D139" t="s">
        <v>110</v>
      </c>
      <c r="E139" t="s">
        <v>75</v>
      </c>
      <c r="F139" t="s">
        <v>16</v>
      </c>
      <c r="G139">
        <v>15</v>
      </c>
      <c r="H139" t="s">
        <v>18</v>
      </c>
      <c r="I139" t="s">
        <v>98</v>
      </c>
      <c r="J139">
        <v>30</v>
      </c>
      <c r="K139" t="s">
        <v>99</v>
      </c>
      <c r="L139" t="s">
        <v>100</v>
      </c>
      <c r="M139" t="s">
        <v>37</v>
      </c>
      <c r="N139" t="s">
        <v>111</v>
      </c>
      <c r="O139" t="s">
        <v>112</v>
      </c>
      <c r="P139" t="s">
        <v>103</v>
      </c>
      <c r="Q139">
        <v>200001</v>
      </c>
      <c r="R139" t="s">
        <v>38</v>
      </c>
      <c r="U139">
        <v>22000</v>
      </c>
      <c r="V139">
        <v>209.44000000000003</v>
      </c>
      <c r="W139">
        <v>243.78816</v>
      </c>
      <c r="X139">
        <v>800</v>
      </c>
      <c r="Y139">
        <v>20</v>
      </c>
      <c r="Z139">
        <v>0.2</v>
      </c>
      <c r="AA139">
        <v>156024.42240000001</v>
      </c>
    </row>
    <row r="140" spans="1:27">
      <c r="A140">
        <v>137</v>
      </c>
      <c r="B140" t="s">
        <v>35</v>
      </c>
      <c r="C140" t="s">
        <v>36</v>
      </c>
      <c r="D140" t="s">
        <v>110</v>
      </c>
      <c r="E140" t="s">
        <v>75</v>
      </c>
      <c r="F140" t="s">
        <v>23</v>
      </c>
      <c r="G140">
        <v>17.515000000000001</v>
      </c>
      <c r="H140" t="s">
        <v>25</v>
      </c>
      <c r="I140" t="s">
        <v>118</v>
      </c>
      <c r="J140">
        <v>64.37</v>
      </c>
      <c r="K140" t="s">
        <v>115</v>
      </c>
      <c r="L140" t="s">
        <v>120</v>
      </c>
      <c r="M140" t="s">
        <v>40</v>
      </c>
      <c r="N140" t="s">
        <v>113</v>
      </c>
      <c r="O140" t="s">
        <v>112</v>
      </c>
      <c r="P140" t="s">
        <v>103</v>
      </c>
      <c r="Q140">
        <v>200001</v>
      </c>
      <c r="R140" t="s">
        <v>38</v>
      </c>
      <c r="T140">
        <v>5000</v>
      </c>
      <c r="V140">
        <v>27.31</v>
      </c>
      <c r="W140">
        <v>31.788839999999997</v>
      </c>
      <c r="X140">
        <v>2000</v>
      </c>
      <c r="Y140">
        <v>20</v>
      </c>
      <c r="Z140">
        <v>0.2</v>
      </c>
      <c r="AA140">
        <v>50862.144</v>
      </c>
    </row>
    <row r="141" spans="1:27">
      <c r="A141">
        <v>138</v>
      </c>
      <c r="B141" t="s">
        <v>35</v>
      </c>
      <c r="C141" t="s">
        <v>36</v>
      </c>
      <c r="D141" t="s">
        <v>110</v>
      </c>
      <c r="E141" t="s">
        <v>75</v>
      </c>
      <c r="F141" t="s">
        <v>29</v>
      </c>
      <c r="G141">
        <v>18</v>
      </c>
      <c r="H141" t="s">
        <v>31</v>
      </c>
      <c r="I141" t="s">
        <v>107</v>
      </c>
      <c r="J141">
        <v>25</v>
      </c>
      <c r="K141" t="s">
        <v>99</v>
      </c>
      <c r="L141" t="s">
        <v>108</v>
      </c>
      <c r="M141" t="s">
        <v>43</v>
      </c>
      <c r="N141" t="s">
        <v>117</v>
      </c>
      <c r="O141" t="s">
        <v>112</v>
      </c>
      <c r="P141" t="s">
        <v>103</v>
      </c>
      <c r="Q141">
        <v>200001</v>
      </c>
      <c r="R141" t="s">
        <v>38</v>
      </c>
      <c r="T141">
        <v>3500</v>
      </c>
      <c r="V141">
        <v>19.117000000000001</v>
      </c>
      <c r="W141">
        <v>22.252188</v>
      </c>
      <c r="X141">
        <v>1200</v>
      </c>
      <c r="Y141">
        <v>20</v>
      </c>
      <c r="Z141">
        <v>0.2</v>
      </c>
      <c r="AA141">
        <v>21362.100480000001</v>
      </c>
    </row>
    <row r="142" spans="1:27">
      <c r="A142">
        <v>139</v>
      </c>
      <c r="B142" t="s">
        <v>45</v>
      </c>
      <c r="C142" t="s">
        <v>46</v>
      </c>
      <c r="D142" t="s">
        <v>123</v>
      </c>
      <c r="E142" t="s">
        <v>75</v>
      </c>
      <c r="F142" t="s">
        <v>16</v>
      </c>
      <c r="G142">
        <v>15</v>
      </c>
      <c r="H142" t="s">
        <v>18</v>
      </c>
      <c r="I142" t="s">
        <v>98</v>
      </c>
      <c r="J142">
        <v>48.28</v>
      </c>
      <c r="K142" t="s">
        <v>115</v>
      </c>
      <c r="L142" t="s">
        <v>119</v>
      </c>
      <c r="M142" t="s">
        <v>48</v>
      </c>
      <c r="N142" t="s">
        <v>124</v>
      </c>
      <c r="O142" t="s">
        <v>125</v>
      </c>
      <c r="P142" t="s">
        <v>126</v>
      </c>
      <c r="Q142">
        <v>20095</v>
      </c>
      <c r="R142" t="s">
        <v>49</v>
      </c>
      <c r="T142">
        <v>4200</v>
      </c>
      <c r="V142">
        <v>22.9404</v>
      </c>
      <c r="W142">
        <v>26.702625599999998</v>
      </c>
      <c r="X142">
        <v>200</v>
      </c>
      <c r="Y142">
        <v>20</v>
      </c>
      <c r="Z142">
        <v>0.2</v>
      </c>
      <c r="AA142">
        <v>4272.4200959999998</v>
      </c>
    </row>
    <row r="143" spans="1:27">
      <c r="A143">
        <v>140</v>
      </c>
      <c r="B143" t="s">
        <v>45</v>
      </c>
      <c r="C143" t="s">
        <v>46</v>
      </c>
      <c r="D143" t="s">
        <v>123</v>
      </c>
      <c r="E143" t="s">
        <v>75</v>
      </c>
      <c r="F143" t="s">
        <v>23</v>
      </c>
      <c r="G143">
        <v>20</v>
      </c>
      <c r="H143" t="s">
        <v>25</v>
      </c>
      <c r="I143" t="s">
        <v>104</v>
      </c>
      <c r="J143">
        <v>64.37</v>
      </c>
      <c r="K143" t="s">
        <v>115</v>
      </c>
      <c r="L143" t="s">
        <v>120</v>
      </c>
      <c r="M143" t="s">
        <v>51</v>
      </c>
      <c r="N143" t="s">
        <v>127</v>
      </c>
      <c r="O143" t="s">
        <v>125</v>
      </c>
      <c r="P143" t="s">
        <v>126</v>
      </c>
      <c r="Q143">
        <v>20095</v>
      </c>
      <c r="R143" t="s">
        <v>49</v>
      </c>
      <c r="S143">
        <v>1000</v>
      </c>
      <c r="V143">
        <v>1000</v>
      </c>
      <c r="W143">
        <v>1164</v>
      </c>
      <c r="X143">
        <v>400</v>
      </c>
      <c r="Y143">
        <v>20</v>
      </c>
      <c r="Z143">
        <v>0.2</v>
      </c>
      <c r="AA143">
        <v>372480</v>
      </c>
    </row>
    <row r="144" spans="1:27">
      <c r="A144">
        <v>141</v>
      </c>
      <c r="B144" t="s">
        <v>45</v>
      </c>
      <c r="C144" t="s">
        <v>46</v>
      </c>
      <c r="D144" t="s">
        <v>123</v>
      </c>
      <c r="E144" t="s">
        <v>75</v>
      </c>
      <c r="F144" t="s">
        <v>29</v>
      </c>
      <c r="G144">
        <v>17.515000000000001</v>
      </c>
      <c r="H144" t="s">
        <v>31</v>
      </c>
      <c r="I144" t="s">
        <v>122</v>
      </c>
      <c r="J144">
        <v>25</v>
      </c>
      <c r="K144" t="s">
        <v>99</v>
      </c>
      <c r="L144" t="s">
        <v>108</v>
      </c>
      <c r="M144" t="s">
        <v>53</v>
      </c>
      <c r="N144" t="s">
        <v>128</v>
      </c>
      <c r="O144" t="s">
        <v>125</v>
      </c>
      <c r="P144" t="s">
        <v>126</v>
      </c>
      <c r="Q144">
        <v>20095</v>
      </c>
      <c r="R144" t="s">
        <v>49</v>
      </c>
      <c r="S144">
        <v>800</v>
      </c>
      <c r="V144">
        <v>800</v>
      </c>
      <c r="W144">
        <v>931.19999999999993</v>
      </c>
      <c r="X144">
        <v>350</v>
      </c>
      <c r="Y144">
        <v>20</v>
      </c>
      <c r="Z144">
        <v>0.2</v>
      </c>
      <c r="AA144">
        <v>260736</v>
      </c>
    </row>
    <row r="145" spans="1:27">
      <c r="A145">
        <v>142</v>
      </c>
      <c r="B145" t="s">
        <v>55</v>
      </c>
      <c r="C145" t="s">
        <v>56</v>
      </c>
      <c r="D145" t="s">
        <v>129</v>
      </c>
      <c r="E145" t="s">
        <v>75</v>
      </c>
      <c r="F145" t="s">
        <v>16</v>
      </c>
      <c r="G145">
        <v>15</v>
      </c>
      <c r="H145" t="s">
        <v>18</v>
      </c>
      <c r="I145" t="s">
        <v>98</v>
      </c>
      <c r="J145">
        <v>30</v>
      </c>
      <c r="K145" t="s">
        <v>99</v>
      </c>
      <c r="L145" t="s">
        <v>100</v>
      </c>
      <c r="M145" t="s">
        <v>57</v>
      </c>
      <c r="N145" t="s">
        <v>130</v>
      </c>
      <c r="O145" t="s">
        <v>131</v>
      </c>
      <c r="P145" t="s">
        <v>126</v>
      </c>
      <c r="Q145">
        <v>75005</v>
      </c>
      <c r="R145" t="s">
        <v>58</v>
      </c>
      <c r="S145">
        <v>950</v>
      </c>
      <c r="V145">
        <v>950</v>
      </c>
      <c r="W145">
        <v>1105.8</v>
      </c>
      <c r="X145">
        <v>180</v>
      </c>
      <c r="Y145">
        <v>20</v>
      </c>
      <c r="Z145">
        <v>0.2</v>
      </c>
      <c r="AA145">
        <v>159235.20000000001</v>
      </c>
    </row>
    <row r="146" spans="1:27">
      <c r="A146">
        <v>143</v>
      </c>
      <c r="B146" t="s">
        <v>55</v>
      </c>
      <c r="C146" t="s">
        <v>56</v>
      </c>
      <c r="D146" t="s">
        <v>129</v>
      </c>
      <c r="E146" t="s">
        <v>75</v>
      </c>
      <c r="F146" t="s">
        <v>23</v>
      </c>
      <c r="G146">
        <v>20</v>
      </c>
      <c r="H146" t="s">
        <v>25</v>
      </c>
      <c r="I146" t="s">
        <v>104</v>
      </c>
      <c r="J146">
        <v>40</v>
      </c>
      <c r="K146" t="s">
        <v>99</v>
      </c>
      <c r="L146" t="s">
        <v>105</v>
      </c>
      <c r="M146" t="s">
        <v>61</v>
      </c>
      <c r="N146" t="s">
        <v>132</v>
      </c>
      <c r="O146" t="s">
        <v>131</v>
      </c>
      <c r="P146" t="s">
        <v>126</v>
      </c>
      <c r="Q146">
        <v>75005</v>
      </c>
      <c r="R146" t="s">
        <v>58</v>
      </c>
      <c r="S146">
        <v>1100</v>
      </c>
      <c r="V146">
        <v>1100</v>
      </c>
      <c r="W146">
        <v>1280.3999999999999</v>
      </c>
      <c r="X146">
        <v>400</v>
      </c>
      <c r="Y146">
        <v>20</v>
      </c>
      <c r="Z146">
        <v>0.2</v>
      </c>
      <c r="AA146">
        <v>409728</v>
      </c>
    </row>
    <row r="147" spans="1:27">
      <c r="A147">
        <v>144</v>
      </c>
      <c r="B147" t="s">
        <v>55</v>
      </c>
      <c r="C147" t="s">
        <v>56</v>
      </c>
      <c r="D147" t="s">
        <v>129</v>
      </c>
      <c r="E147" t="s">
        <v>75</v>
      </c>
      <c r="F147" t="s">
        <v>29</v>
      </c>
      <c r="G147">
        <v>18</v>
      </c>
      <c r="H147" t="s">
        <v>31</v>
      </c>
      <c r="I147" t="s">
        <v>107</v>
      </c>
      <c r="J147">
        <v>25</v>
      </c>
      <c r="K147" t="s">
        <v>99</v>
      </c>
      <c r="L147" t="s">
        <v>108</v>
      </c>
      <c r="M147" t="s">
        <v>63</v>
      </c>
      <c r="N147" t="s">
        <v>133</v>
      </c>
      <c r="O147" t="s">
        <v>131</v>
      </c>
      <c r="P147" t="s">
        <v>126</v>
      </c>
      <c r="Q147">
        <v>75005</v>
      </c>
      <c r="R147" t="s">
        <v>58</v>
      </c>
      <c r="S147">
        <v>900</v>
      </c>
      <c r="V147">
        <v>900</v>
      </c>
      <c r="W147">
        <v>1047.5999999999999</v>
      </c>
      <c r="X147">
        <v>360</v>
      </c>
      <c r="Y147">
        <v>20</v>
      </c>
      <c r="Z147">
        <v>0.2</v>
      </c>
      <c r="AA147">
        <v>301708.79999999999</v>
      </c>
    </row>
    <row r="148" spans="1:27">
      <c r="D148" t="s">
        <v>134</v>
      </c>
      <c r="S148">
        <v>1050</v>
      </c>
    </row>
    <row r="149" spans="1:27">
      <c r="D149" t="s">
        <v>134</v>
      </c>
      <c r="S149">
        <v>1050</v>
      </c>
    </row>
    <row r="150" spans="1:27">
      <c r="D150" t="s">
        <v>134</v>
      </c>
      <c r="U150">
        <v>30000</v>
      </c>
    </row>
    <row r="151" spans="1:27">
      <c r="D151" t="s">
        <v>134</v>
      </c>
      <c r="U151">
        <v>25000</v>
      </c>
    </row>
    <row r="152" spans="1:27">
      <c r="D152" t="s">
        <v>134</v>
      </c>
      <c r="U152">
        <v>25000</v>
      </c>
    </row>
    <row r="153" spans="1:27">
      <c r="D153" t="s">
        <v>134</v>
      </c>
      <c r="U153">
        <v>22000</v>
      </c>
    </row>
    <row r="154" spans="1:27">
      <c r="D154" t="s">
        <v>134</v>
      </c>
      <c r="T154">
        <v>5000</v>
      </c>
    </row>
    <row r="155" spans="1:27">
      <c r="D155" t="s">
        <v>134</v>
      </c>
      <c r="T155">
        <v>3500</v>
      </c>
    </row>
    <row r="156" spans="1:27">
      <c r="D156" t="s">
        <v>134</v>
      </c>
      <c r="T156">
        <v>4200</v>
      </c>
    </row>
    <row r="157" spans="1:27">
      <c r="D157" t="s">
        <v>134</v>
      </c>
      <c r="T157">
        <v>4200</v>
      </c>
    </row>
    <row r="158" spans="1:27">
      <c r="D158" t="s">
        <v>134</v>
      </c>
      <c r="S158">
        <v>1000</v>
      </c>
    </row>
    <row r="159" spans="1:27">
      <c r="D159" t="s">
        <v>134</v>
      </c>
      <c r="S159">
        <v>800</v>
      </c>
    </row>
    <row r="160" spans="1:27">
      <c r="D160" t="s">
        <v>134</v>
      </c>
      <c r="S160">
        <v>950</v>
      </c>
    </row>
    <row r="161" spans="4:22">
      <c r="D161" t="s">
        <v>134</v>
      </c>
      <c r="S161">
        <v>1100</v>
      </c>
    </row>
    <row r="162" spans="4:22">
      <c r="D162" t="s">
        <v>134</v>
      </c>
      <c r="S162">
        <v>1100</v>
      </c>
    </row>
    <row r="163" spans="4:22">
      <c r="D163" t="s">
        <v>134</v>
      </c>
      <c r="S163">
        <v>900</v>
      </c>
    </row>
    <row r="164" spans="4:22">
      <c r="D164" t="s">
        <v>134</v>
      </c>
      <c r="S164">
        <v>1050</v>
      </c>
    </row>
    <row r="165" spans="4:22">
      <c r="D165" t="s">
        <v>134</v>
      </c>
      <c r="V165" t="s">
        <v>135</v>
      </c>
    </row>
    <row r="166" spans="4:22">
      <c r="D166" t="s">
        <v>134</v>
      </c>
      <c r="S166" t="s">
        <v>78</v>
      </c>
    </row>
    <row r="167" spans="4:22">
      <c r="D167" t="s">
        <v>134</v>
      </c>
      <c r="V167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57E0-83FE-4AAE-911F-1544DD3311A7}">
  <dimension ref="A3:N29"/>
  <sheetViews>
    <sheetView tabSelected="1" workbookViewId="0">
      <selection activeCell="M21" sqref="M21"/>
    </sheetView>
  </sheetViews>
  <sheetFormatPr defaultRowHeight="15"/>
  <cols>
    <col min="1" max="1" width="11.85546875" bestFit="1" customWidth="1"/>
    <col min="2" max="2" width="21" bestFit="1" customWidth="1"/>
    <col min="9" max="9" width="23.7109375" bestFit="1" customWidth="1"/>
    <col min="10" max="10" width="21" bestFit="1" customWidth="1"/>
    <col min="12" max="12" width="18.140625" bestFit="1" customWidth="1"/>
    <col min="13" max="13" width="24.42578125" bestFit="1" customWidth="1"/>
    <col min="14" max="14" width="21" bestFit="1" customWidth="1"/>
  </cols>
  <sheetData>
    <row r="3" spans="1:13">
      <c r="A3" s="40" t="s">
        <v>3</v>
      </c>
      <c r="B3" s="34" t="s">
        <v>136</v>
      </c>
      <c r="L3" t="s">
        <v>137</v>
      </c>
    </row>
    <row r="4" spans="1:13">
      <c r="A4" s="41" t="s">
        <v>15</v>
      </c>
      <c r="B4" s="45">
        <v>1202033.4709248</v>
      </c>
      <c r="L4" t="s">
        <v>138</v>
      </c>
      <c r="M4" s="44">
        <f>SUM(B4:B6)</f>
        <v>5339398.1179727986</v>
      </c>
    </row>
    <row r="5" spans="1:13">
      <c r="A5" s="42" t="s">
        <v>65</v>
      </c>
      <c r="B5" s="46">
        <v>1743829.0398959999</v>
      </c>
      <c r="L5" t="s">
        <v>139</v>
      </c>
      <c r="M5" s="44">
        <f>SUM(B7:B9)</f>
        <v>15559901.86956</v>
      </c>
    </row>
    <row r="6" spans="1:13">
      <c r="A6" s="42" t="s">
        <v>66</v>
      </c>
      <c r="B6" s="46">
        <v>2393535.6071519991</v>
      </c>
      <c r="L6" t="s">
        <v>140</v>
      </c>
      <c r="M6" s="44">
        <f>SUM(B10:B12)</f>
        <v>15303301.724520002</v>
      </c>
    </row>
    <row r="7" spans="1:13">
      <c r="A7" s="42" t="s">
        <v>67</v>
      </c>
      <c r="B7" s="46">
        <v>4486815.5449200002</v>
      </c>
      <c r="L7" t="s">
        <v>141</v>
      </c>
      <c r="M7" s="44">
        <f>SUM(B13:B15)</f>
        <v>6417578.7443639999</v>
      </c>
    </row>
    <row r="8" spans="1:13">
      <c r="A8" s="42" t="s">
        <v>68</v>
      </c>
      <c r="B8" s="46">
        <v>5052989.2538399994</v>
      </c>
    </row>
    <row r="9" spans="1:13">
      <c r="A9" s="42" t="s">
        <v>69</v>
      </c>
      <c r="B9" s="46">
        <v>6020097.0707999999</v>
      </c>
    </row>
    <row r="10" spans="1:13">
      <c r="A10" s="42" t="s">
        <v>70</v>
      </c>
      <c r="B10" s="46">
        <v>6844812.4884000001</v>
      </c>
    </row>
    <row r="11" spans="1:13">
      <c r="A11" s="42" t="s">
        <v>71</v>
      </c>
      <c r="B11" s="46">
        <v>4485382.9635600001</v>
      </c>
    </row>
    <row r="12" spans="1:13">
      <c r="A12" s="42" t="s">
        <v>72</v>
      </c>
      <c r="B12" s="46">
        <v>3973106.27256</v>
      </c>
    </row>
    <row r="13" spans="1:13">
      <c r="A13" s="42" t="s">
        <v>73</v>
      </c>
      <c r="B13" s="46">
        <v>2573557.0558799999</v>
      </c>
    </row>
    <row r="14" spans="1:13">
      <c r="A14" s="42" t="s">
        <v>74</v>
      </c>
      <c r="B14" s="46">
        <v>1614951.9295080001</v>
      </c>
    </row>
    <row r="15" spans="1:13">
      <c r="A15" s="42" t="s">
        <v>75</v>
      </c>
      <c r="B15" s="46">
        <v>2229069.7589759999</v>
      </c>
    </row>
    <row r="16" spans="1:13">
      <c r="A16" s="43" t="s">
        <v>142</v>
      </c>
      <c r="B16" s="47">
        <v>42620180.456416801</v>
      </c>
    </row>
    <row r="21" spans="1:14">
      <c r="M21" t="s">
        <v>143</v>
      </c>
    </row>
    <row r="22" spans="1:14">
      <c r="A22" t="s">
        <v>144</v>
      </c>
      <c r="I22" t="s">
        <v>145</v>
      </c>
      <c r="M22" s="40" t="s">
        <v>4</v>
      </c>
      <c r="N22" s="34" t="s">
        <v>136</v>
      </c>
    </row>
    <row r="23" spans="1:14">
      <c r="A23" t="s">
        <v>88</v>
      </c>
      <c r="B23" t="s">
        <v>136</v>
      </c>
      <c r="I23" s="40" t="s">
        <v>82</v>
      </c>
      <c r="J23" s="34" t="s">
        <v>136</v>
      </c>
      <c r="M23" s="41" t="s">
        <v>23</v>
      </c>
      <c r="N23" s="45">
        <v>20283493.509275999</v>
      </c>
    </row>
    <row r="24" spans="1:14">
      <c r="A24" t="s">
        <v>103</v>
      </c>
      <c r="B24">
        <v>31728773.650548004</v>
      </c>
      <c r="I24" s="41" t="s">
        <v>134</v>
      </c>
      <c r="J24" s="45"/>
      <c r="M24" s="42" t="s">
        <v>29</v>
      </c>
      <c r="N24" s="46">
        <v>13468970.637024</v>
      </c>
    </row>
    <row r="25" spans="1:14">
      <c r="A25" t="s">
        <v>126</v>
      </c>
      <c r="B25">
        <v>10891406.805868801</v>
      </c>
      <c r="I25" s="42" t="s">
        <v>110</v>
      </c>
      <c r="J25" s="46">
        <v>25107765.781788006</v>
      </c>
      <c r="M25" s="42" t="s">
        <v>16</v>
      </c>
      <c r="N25" s="46">
        <v>8867716.3101167995</v>
      </c>
    </row>
    <row r="26" spans="1:14">
      <c r="A26" t="s">
        <v>142</v>
      </c>
      <c r="B26">
        <v>42620180.456416801</v>
      </c>
      <c r="I26" s="42" t="s">
        <v>123</v>
      </c>
      <c r="J26" s="46">
        <v>5752567.8052368006</v>
      </c>
      <c r="M26" s="42" t="s">
        <v>146</v>
      </c>
      <c r="N26" s="46"/>
    </row>
    <row r="27" spans="1:14">
      <c r="I27" s="42" t="s">
        <v>97</v>
      </c>
      <c r="J27" s="46">
        <v>6621007.8687600009</v>
      </c>
      <c r="M27" s="43" t="s">
        <v>142</v>
      </c>
      <c r="N27" s="47">
        <v>42620180.456416801</v>
      </c>
    </row>
    <row r="28" spans="1:14">
      <c r="I28" s="42" t="s">
        <v>129</v>
      </c>
      <c r="J28" s="46">
        <v>5138839.0006320002</v>
      </c>
    </row>
    <row r="29" spans="1:14">
      <c r="I29" s="43" t="s">
        <v>142</v>
      </c>
      <c r="J29" s="47">
        <v>42620180.456416816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18E8-14C2-4D5A-B8E8-220FB712B99C}">
  <dimension ref="A1:AA145"/>
  <sheetViews>
    <sheetView workbookViewId="0">
      <selection activeCell="D6" sqref="D6"/>
    </sheetView>
  </sheetViews>
  <sheetFormatPr defaultColWidth="9.140625" defaultRowHeight="15"/>
  <cols>
    <col min="1" max="1" width="23.42578125" style="10" customWidth="1"/>
    <col min="2" max="2" width="24.5703125" style="10" hidden="1" customWidth="1"/>
    <col min="3" max="3" width="26" hidden="1" customWidth="1"/>
    <col min="4" max="5" width="18.7109375" customWidth="1"/>
    <col min="6" max="6" width="26.85546875" style="10" customWidth="1"/>
    <col min="7" max="7" width="22.7109375" bestFit="1" customWidth="1"/>
    <col min="8" max="8" width="9.5703125" hidden="1" customWidth="1"/>
    <col min="9" max="9" width="26.85546875" customWidth="1"/>
    <col min="10" max="11" width="23.5703125" style="10" hidden="1" customWidth="1"/>
    <col min="12" max="12" width="36.5703125" style="10" bestFit="1" customWidth="1"/>
    <col min="13" max="13" width="46.5703125" hidden="1" customWidth="1"/>
    <col min="14" max="14" width="41.140625" bestFit="1" customWidth="1"/>
    <col min="15" max="15" width="22.7109375" bestFit="1" customWidth="1"/>
    <col min="16" max="16" width="22.7109375" customWidth="1"/>
    <col min="17" max="17" width="22.7109375" bestFit="1" customWidth="1"/>
    <col min="18" max="18" width="27" style="10" customWidth="1"/>
    <col min="19" max="19" width="24.7109375" style="16" hidden="1" customWidth="1"/>
    <col min="20" max="20" width="24.7109375" style="22" hidden="1" customWidth="1"/>
    <col min="21" max="21" width="24.7109375" style="18" hidden="1" customWidth="1"/>
    <col min="22" max="22" width="24.7109375" style="23" hidden="1" customWidth="1"/>
    <col min="23" max="23" width="24.7109375" style="23" customWidth="1"/>
    <col min="24" max="24" width="23.140625" style="10" customWidth="1"/>
    <col min="25" max="25" width="28" hidden="1" customWidth="1"/>
    <col min="26" max="26" width="28" style="20" customWidth="1"/>
    <col min="27" max="27" width="17.7109375" style="10" bestFit="1" customWidth="1"/>
  </cols>
  <sheetData>
    <row r="1" spans="1:27" ht="37.5" customHeight="1">
      <c r="A1" s="5" t="s">
        <v>0</v>
      </c>
      <c r="B1" s="6" t="s">
        <v>1</v>
      </c>
      <c r="C1" s="6" t="s">
        <v>2</v>
      </c>
      <c r="D1" s="24" t="s">
        <v>82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83</v>
      </c>
      <c r="J1" s="6" t="s">
        <v>7</v>
      </c>
      <c r="K1" s="6" t="s">
        <v>84</v>
      </c>
      <c r="L1" s="6" t="s">
        <v>85</v>
      </c>
      <c r="M1" s="6" t="s">
        <v>8</v>
      </c>
      <c r="N1" s="6" t="s">
        <v>86</v>
      </c>
      <c r="O1" s="6" t="s">
        <v>87</v>
      </c>
      <c r="P1" s="6" t="s">
        <v>88</v>
      </c>
      <c r="Q1" s="6" t="s">
        <v>89</v>
      </c>
      <c r="R1" s="6" t="s">
        <v>9</v>
      </c>
      <c r="S1" s="6" t="s">
        <v>90</v>
      </c>
      <c r="T1" s="21" t="s">
        <v>91</v>
      </c>
      <c r="U1" s="17" t="s">
        <v>92</v>
      </c>
      <c r="V1" s="15" t="s">
        <v>93</v>
      </c>
      <c r="W1" s="35" t="s">
        <v>94</v>
      </c>
      <c r="X1" s="6" t="s">
        <v>11</v>
      </c>
      <c r="Y1" s="7" t="s">
        <v>12</v>
      </c>
      <c r="Z1" s="19" t="s">
        <v>95</v>
      </c>
      <c r="AA1" s="7" t="s">
        <v>96</v>
      </c>
    </row>
    <row r="2" spans="1:27">
      <c r="A2" s="25">
        <v>1</v>
      </c>
      <c r="B2" s="26" t="s">
        <v>13</v>
      </c>
      <c r="C2" s="26" t="s">
        <v>14</v>
      </c>
      <c r="D2" s="26" t="str">
        <f t="shared" ref="D2:D33" si="0">B2 &amp; " " &amp; C2</f>
        <v>Sanya Joshi</v>
      </c>
      <c r="E2" s="26" t="s">
        <v>15</v>
      </c>
      <c r="F2" s="26" t="s">
        <v>16</v>
      </c>
      <c r="G2" s="26">
        <v>15</v>
      </c>
      <c r="H2" s="26" t="s">
        <v>18</v>
      </c>
      <c r="I2" s="27" t="str">
        <f t="shared" ref="I2:I33" si="1">"Min " &amp; G2 &amp; " - Max " &amp; H2</f>
        <v>Min 15 - Max 30 mph</v>
      </c>
      <c r="J2" s="26">
        <v>30</v>
      </c>
      <c r="K2" s="26" t="s">
        <v>99</v>
      </c>
      <c r="L2" s="27" t="str">
        <f t="shared" ref="L2:L33" si="2">IF(K2 = "miles", J2*1609.334,J2) &amp; " meters"</f>
        <v>48280,02 meters</v>
      </c>
      <c r="M2" s="26" t="s">
        <v>20</v>
      </c>
      <c r="N2" s="26" t="s">
        <v>101</v>
      </c>
      <c r="O2" s="26" t="s">
        <v>102</v>
      </c>
      <c r="P2" s="26" t="str">
        <f>IF(Table32[[#This Row],[City]] = " Bengaluru","Asia",IF(Table32[[#This Row],[City]]=" Shanghai", "Asia", "Europe"))</f>
        <v>Asia</v>
      </c>
      <c r="Q2" s="26">
        <v>560001</v>
      </c>
      <c r="R2" s="26" t="s">
        <v>21</v>
      </c>
      <c r="S2" s="26"/>
      <c r="T2" s="28"/>
      <c r="U2" s="29">
        <v>30000</v>
      </c>
      <c r="V2" s="30">
        <f>IF(S2&lt;&gt;"",S2,IF(T2&lt;&gt;"",T2*(0.005462),IF(U2&lt;&gt;"",U2*(0.00952),"")))</f>
        <v>285.60000000000002</v>
      </c>
      <c r="W2" s="36">
        <f t="shared" ref="W2:W33" si="3">V2*1.164</f>
        <v>332.4384</v>
      </c>
      <c r="X2" s="26">
        <v>150</v>
      </c>
      <c r="Y2" s="31">
        <v>10</v>
      </c>
      <c r="Z2" s="32">
        <f>Y2*0.01</f>
        <v>0.1</v>
      </c>
      <c r="AA2" s="38">
        <f>W2*X2*(100%-Z2)</f>
        <v>44879.184000000001</v>
      </c>
    </row>
    <row r="3" spans="1:27">
      <c r="A3" s="25">
        <v>2</v>
      </c>
      <c r="B3" s="26" t="s">
        <v>13</v>
      </c>
      <c r="C3" s="26" t="s">
        <v>14</v>
      </c>
      <c r="D3" s="26" t="str">
        <f t="shared" si="0"/>
        <v>Sanya Joshi</v>
      </c>
      <c r="E3" s="26" t="s">
        <v>15</v>
      </c>
      <c r="F3" s="26" t="s">
        <v>23</v>
      </c>
      <c r="G3" s="26">
        <v>20</v>
      </c>
      <c r="H3" s="26" t="s">
        <v>25</v>
      </c>
      <c r="I3" s="26" t="str">
        <f t="shared" si="1"/>
        <v>Min 20 - Max 35 mph</v>
      </c>
      <c r="J3" s="26">
        <v>40</v>
      </c>
      <c r="K3" s="26" t="s">
        <v>99</v>
      </c>
      <c r="L3" s="26" t="str">
        <f t="shared" si="2"/>
        <v>64373,36 meters</v>
      </c>
      <c r="M3" s="26" t="s">
        <v>27</v>
      </c>
      <c r="N3" s="26" t="s">
        <v>106</v>
      </c>
      <c r="O3" s="26" t="s">
        <v>102</v>
      </c>
      <c r="P3" s="26" t="str">
        <f>IF(Table32[[#This Row],[City]] = " Bengaluru","Asia",IF(Table32[[#This Row],[City]]=" Shanghai", "Asia", "Europe"))</f>
        <v>Asia</v>
      </c>
      <c r="Q3" s="26">
        <v>560001</v>
      </c>
      <c r="R3" s="26" t="s">
        <v>21</v>
      </c>
      <c r="S3" s="26"/>
      <c r="T3" s="28"/>
      <c r="U3" s="29">
        <v>25000</v>
      </c>
      <c r="V3" s="33">
        <f>IF(S3&lt;&gt;"",S3,IF(T3&lt;&gt;"",T3*(0.005462),IF(U3&lt;&gt;"",U3*(0.00952),"")))</f>
        <v>238.00000000000003</v>
      </c>
      <c r="W3" s="37">
        <f t="shared" si="3"/>
        <v>277.03200000000004</v>
      </c>
      <c r="X3" s="26">
        <v>300</v>
      </c>
      <c r="Y3" s="31">
        <v>10</v>
      </c>
      <c r="Z3" s="32">
        <f t="shared" ref="Z3:Z66" si="4">Y3*0.01</f>
        <v>0.1</v>
      </c>
      <c r="AA3" s="38">
        <f t="shared" ref="AA3:AA66" si="5">W3*X3*(100%-Z3)</f>
        <v>74798.640000000014</v>
      </c>
    </row>
    <row r="4" spans="1:27">
      <c r="A4" s="25">
        <v>3</v>
      </c>
      <c r="B4" s="26" t="s">
        <v>13</v>
      </c>
      <c r="C4" s="26" t="s">
        <v>14</v>
      </c>
      <c r="D4" s="26" t="str">
        <f t="shared" si="0"/>
        <v>Sanya Joshi</v>
      </c>
      <c r="E4" s="26" t="s">
        <v>15</v>
      </c>
      <c r="F4" s="26" t="s">
        <v>29</v>
      </c>
      <c r="G4" s="26">
        <v>18</v>
      </c>
      <c r="H4" s="26" t="s">
        <v>31</v>
      </c>
      <c r="I4" s="26" t="str">
        <f t="shared" si="1"/>
        <v>Min 18 - Max 28 mph</v>
      </c>
      <c r="J4" s="26">
        <v>25</v>
      </c>
      <c r="K4" s="26" t="s">
        <v>99</v>
      </c>
      <c r="L4" s="26" t="str">
        <f>IF(K4 = "miles", J4*1609.334,J4) &amp; " meters"</f>
        <v>40233,35 meters</v>
      </c>
      <c r="M4" s="26" t="s">
        <v>33</v>
      </c>
      <c r="N4" s="26" t="s">
        <v>109</v>
      </c>
      <c r="O4" s="26" t="s">
        <v>102</v>
      </c>
      <c r="P4" s="26" t="str">
        <f>IF(Table32[[#This Row],[City]] = " Bengaluru","Asia",IF(Table32[[#This Row],[City]]=" Shanghai", "Asia", "Europe"))</f>
        <v>Asia</v>
      </c>
      <c r="Q4" s="26">
        <v>560001</v>
      </c>
      <c r="R4" s="26" t="s">
        <v>21</v>
      </c>
      <c r="S4" s="26"/>
      <c r="T4" s="28"/>
      <c r="U4" s="29">
        <v>25000</v>
      </c>
      <c r="V4" s="33">
        <f>IF(S4&lt;&gt;"",S4,IF(T4&lt;&gt;"",T4*(0.005462),IF(U4&lt;&gt;"",U4*(0.00952),"")))</f>
        <v>238.00000000000003</v>
      </c>
      <c r="W4" s="37">
        <f t="shared" si="3"/>
        <v>277.03200000000004</v>
      </c>
      <c r="X4" s="26">
        <v>200</v>
      </c>
      <c r="Y4" s="31">
        <v>10</v>
      </c>
      <c r="Z4" s="32">
        <f t="shared" si="4"/>
        <v>0.1</v>
      </c>
      <c r="AA4" s="38">
        <f t="shared" si="5"/>
        <v>49865.760000000009</v>
      </c>
    </row>
    <row r="5" spans="1:27">
      <c r="A5" s="25">
        <v>4</v>
      </c>
      <c r="B5" s="26" t="s">
        <v>35</v>
      </c>
      <c r="C5" s="26" t="s">
        <v>36</v>
      </c>
      <c r="D5" s="26" t="str">
        <f t="shared" si="0"/>
        <v>Fang Liu</v>
      </c>
      <c r="E5" s="26" t="s">
        <v>15</v>
      </c>
      <c r="F5" s="26" t="s">
        <v>16</v>
      </c>
      <c r="G5" s="26">
        <v>15</v>
      </c>
      <c r="H5" s="26" t="s">
        <v>18</v>
      </c>
      <c r="I5" s="26" t="str">
        <f t="shared" si="1"/>
        <v>Min 15 - Max 30 mph</v>
      </c>
      <c r="J5" s="26">
        <v>30</v>
      </c>
      <c r="K5" s="26" t="s">
        <v>99</v>
      </c>
      <c r="L5" s="26" t="str">
        <f t="shared" si="2"/>
        <v>48280,02 meters</v>
      </c>
      <c r="M5" s="26" t="s">
        <v>37</v>
      </c>
      <c r="N5" s="26" t="s">
        <v>111</v>
      </c>
      <c r="O5" s="26" t="s">
        <v>112</v>
      </c>
      <c r="P5" s="26" t="str">
        <f>IF(Table32[[#This Row],[City]] = " Bengaluru","Asia",IF(Table32[[#This Row],[City]]=" Shanghai", "Asia", "Europe"))</f>
        <v>Asia</v>
      </c>
      <c r="Q5" s="26">
        <v>200001</v>
      </c>
      <c r="R5" s="26" t="s">
        <v>38</v>
      </c>
      <c r="S5" s="26"/>
      <c r="T5" s="28"/>
      <c r="U5" s="29">
        <v>22000</v>
      </c>
      <c r="V5" s="33">
        <f>IF(S5&lt;&gt;"",S5,IF(T5&lt;&gt;"",T5*(0.005462),IF(U5&lt;&gt;"",U5*(0.00952),"")))</f>
        <v>209.44000000000003</v>
      </c>
      <c r="W5" s="37">
        <f t="shared" si="3"/>
        <v>243.78816</v>
      </c>
      <c r="X5" s="26">
        <v>500</v>
      </c>
      <c r="Y5" s="31">
        <v>10</v>
      </c>
      <c r="Z5" s="32">
        <f t="shared" si="4"/>
        <v>0.1</v>
      </c>
      <c r="AA5" s="38">
        <f t="shared" si="5"/>
        <v>109704.67200000001</v>
      </c>
    </row>
    <row r="6" spans="1:27">
      <c r="A6" s="25">
        <v>5</v>
      </c>
      <c r="B6" s="26" t="s">
        <v>35</v>
      </c>
      <c r="C6" s="26" t="s">
        <v>36</v>
      </c>
      <c r="D6" s="26" t="str">
        <f t="shared" si="0"/>
        <v>Fang Liu</v>
      </c>
      <c r="E6" s="26" t="s">
        <v>15</v>
      </c>
      <c r="F6" s="26" t="s">
        <v>23</v>
      </c>
      <c r="G6" s="26">
        <v>20</v>
      </c>
      <c r="H6" s="26" t="s">
        <v>25</v>
      </c>
      <c r="I6" s="26" t="str">
        <f t="shared" si="1"/>
        <v>Min 20 - Max 35 mph</v>
      </c>
      <c r="J6" s="26">
        <v>40</v>
      </c>
      <c r="K6" s="26" t="s">
        <v>99</v>
      </c>
      <c r="L6" s="26" t="str">
        <f t="shared" si="2"/>
        <v>64373,36 meters</v>
      </c>
      <c r="M6" s="26" t="s">
        <v>40</v>
      </c>
      <c r="N6" s="26" t="s">
        <v>113</v>
      </c>
      <c r="O6" s="26" t="s">
        <v>112</v>
      </c>
      <c r="P6" s="26" t="str">
        <f>IF(Table32[[#This Row],[City]] = " Bengaluru","Asia",IF(Table32[[#This Row],[City]]=" Shanghai", "Asia", "Europe"))</f>
        <v>Asia</v>
      </c>
      <c r="Q6" s="26">
        <v>200001</v>
      </c>
      <c r="R6" s="26" t="s">
        <v>38</v>
      </c>
      <c r="S6" s="26"/>
      <c r="T6" s="28">
        <v>5000</v>
      </c>
      <c r="U6" s="26"/>
      <c r="V6" s="33">
        <f>IF(S6&lt;&gt;"",S6,IF(T6&lt;&gt;"",T6*(0.005462),IF(U6&lt;&gt;"",U6*(0.00952),"")))</f>
        <v>27.31</v>
      </c>
      <c r="W6" s="37">
        <f t="shared" si="3"/>
        <v>31.788839999999997</v>
      </c>
      <c r="X6" s="26">
        <v>1000</v>
      </c>
      <c r="Y6" s="31">
        <v>10</v>
      </c>
      <c r="Z6" s="32">
        <f t="shared" si="4"/>
        <v>0.1</v>
      </c>
      <c r="AA6" s="38">
        <f t="shared" si="5"/>
        <v>28609.955999999998</v>
      </c>
    </row>
    <row r="7" spans="1:27">
      <c r="A7" s="25">
        <v>6</v>
      </c>
      <c r="B7" s="26" t="s">
        <v>35</v>
      </c>
      <c r="C7" s="26" t="s">
        <v>36</v>
      </c>
      <c r="D7" s="26" t="str">
        <f t="shared" si="0"/>
        <v>Fang Liu</v>
      </c>
      <c r="E7" s="26" t="s">
        <v>15</v>
      </c>
      <c r="F7" s="26" t="s">
        <v>29</v>
      </c>
      <c r="G7" s="26">
        <f ca="1">AVERAGE(G2:G145)</f>
        <v>0</v>
      </c>
      <c r="H7" s="26" t="s">
        <v>31</v>
      </c>
      <c r="I7" s="26" t="str">
        <f ca="1">"Min " &amp; G7 &amp; " - Max " &amp; H7</f>
        <v>Min  - Max 28 mph</v>
      </c>
      <c r="J7" s="26">
        <v>40.229999999999997</v>
      </c>
      <c r="K7" s="26" t="s">
        <v>115</v>
      </c>
      <c r="L7" s="27" t="str">
        <f t="shared" si="2"/>
        <v>40,23 meters</v>
      </c>
      <c r="M7" s="26" t="s">
        <v>43</v>
      </c>
      <c r="N7" s="26" t="s">
        <v>117</v>
      </c>
      <c r="O7" s="26" t="s">
        <v>112</v>
      </c>
      <c r="P7" s="26" t="str">
        <f>IF(Table32[[#This Row],[City]] = " Bengaluru","Asia",IF(Table32[[#This Row],[City]]=" Shanghai", "Asia", "Europe"))</f>
        <v>Asia</v>
      </c>
      <c r="Q7" s="26">
        <v>200001</v>
      </c>
      <c r="R7" s="26" t="s">
        <v>38</v>
      </c>
      <c r="S7" s="26"/>
      <c r="T7" s="28">
        <v>3500</v>
      </c>
      <c r="U7" s="26"/>
      <c r="V7" s="33">
        <f>IF(S7&lt;&gt;"",S7,IF(T7&lt;&gt;"",T7*(0.005462),IF(U7&lt;&gt;"",U7*(0.00952),"")))</f>
        <v>19.117000000000001</v>
      </c>
      <c r="W7" s="37">
        <f t="shared" si="3"/>
        <v>22.252188</v>
      </c>
      <c r="X7" s="26">
        <v>800</v>
      </c>
      <c r="Y7" s="31">
        <v>10</v>
      </c>
      <c r="Z7" s="32">
        <f t="shared" si="4"/>
        <v>0.1</v>
      </c>
      <c r="AA7" s="38">
        <f t="shared" si="5"/>
        <v>16021.575360000001</v>
      </c>
    </row>
    <row r="8" spans="1:27">
      <c r="A8" s="25">
        <v>7</v>
      </c>
      <c r="B8" s="26" t="s">
        <v>45</v>
      </c>
      <c r="C8" s="26" t="s">
        <v>46</v>
      </c>
      <c r="D8" s="26" t="str">
        <f t="shared" si="0"/>
        <v>Jonas Fischer</v>
      </c>
      <c r="E8" s="26" t="s">
        <v>15</v>
      </c>
      <c r="F8" s="26" t="s">
        <v>16</v>
      </c>
      <c r="G8" s="26">
        <v>15</v>
      </c>
      <c r="H8" s="26" t="s">
        <v>18</v>
      </c>
      <c r="I8" s="26" t="str">
        <f t="shared" si="1"/>
        <v>Min 15 - Max 30 mph</v>
      </c>
      <c r="J8" s="26">
        <v>48.28</v>
      </c>
      <c r="K8" s="26" t="s">
        <v>115</v>
      </c>
      <c r="L8" s="26" t="str">
        <f t="shared" si="2"/>
        <v>48,28 meters</v>
      </c>
      <c r="M8" s="26" t="s">
        <v>48</v>
      </c>
      <c r="N8" s="26" t="s">
        <v>124</v>
      </c>
      <c r="O8" s="26" t="s">
        <v>125</v>
      </c>
      <c r="P8" s="26" t="str">
        <f>IF(Table32[[#This Row],[City]] = " Bengaluru","Asia",IF(Table32[[#This Row],[City]]=" Shanghai", "Asia", "Europe"))</f>
        <v>Europe</v>
      </c>
      <c r="Q8" s="26">
        <v>20095</v>
      </c>
      <c r="R8" s="26" t="s">
        <v>49</v>
      </c>
      <c r="S8" s="26"/>
      <c r="T8" s="28">
        <v>4200</v>
      </c>
      <c r="U8" s="26"/>
      <c r="V8" s="33">
        <f>IF(S8&lt;&gt;"",S8,IF(T8&lt;&gt;"",T8*(0.005462),IF(U8&lt;&gt;"",U8*(0.00952),"")))</f>
        <v>22.9404</v>
      </c>
      <c r="W8" s="37">
        <f t="shared" si="3"/>
        <v>26.702625599999998</v>
      </c>
      <c r="X8" s="26">
        <v>120</v>
      </c>
      <c r="Y8" s="31">
        <v>10</v>
      </c>
      <c r="Z8" s="32">
        <f t="shared" si="4"/>
        <v>0.1</v>
      </c>
      <c r="AA8" s="38">
        <f t="shared" si="5"/>
        <v>2883.8835647999999</v>
      </c>
    </row>
    <row r="9" spans="1:27">
      <c r="A9" s="25">
        <v>8</v>
      </c>
      <c r="B9" s="26" t="s">
        <v>45</v>
      </c>
      <c r="C9" s="26" t="s">
        <v>46</v>
      </c>
      <c r="D9" s="26" t="str">
        <f t="shared" si="0"/>
        <v>Jonas Fischer</v>
      </c>
      <c r="E9" s="26" t="s">
        <v>15</v>
      </c>
      <c r="F9" s="26" t="s">
        <v>23</v>
      </c>
      <c r="G9" s="26">
        <v>20</v>
      </c>
      <c r="H9" s="26" t="s">
        <v>25</v>
      </c>
      <c r="I9" s="26" t="str">
        <f t="shared" si="1"/>
        <v>Min 20 - Max 35 mph</v>
      </c>
      <c r="J9" s="26">
        <v>40</v>
      </c>
      <c r="K9" s="26" t="s">
        <v>99</v>
      </c>
      <c r="L9" s="26" t="str">
        <f t="shared" si="2"/>
        <v>64373,36 meters</v>
      </c>
      <c r="M9" s="26" t="s">
        <v>51</v>
      </c>
      <c r="N9" s="26" t="s">
        <v>127</v>
      </c>
      <c r="O9" s="26" t="s">
        <v>125</v>
      </c>
      <c r="P9" s="26" t="str">
        <f>IF(Table32[[#This Row],[City]] = " Bengaluru","Asia",IF(Table32[[#This Row],[City]]=" Shanghai", "Asia", "Europe"))</f>
        <v>Europe</v>
      </c>
      <c r="Q9" s="26">
        <v>20095</v>
      </c>
      <c r="R9" s="26" t="s">
        <v>49</v>
      </c>
      <c r="S9" s="26">
        <v>1000</v>
      </c>
      <c r="T9" s="28"/>
      <c r="U9" s="26"/>
      <c r="V9" s="33">
        <f>IF(S9&lt;&gt;"",S9,IF(T9&lt;&gt;"",T9*(0.005462),IF(U9&lt;&gt;"",U9*(0.00952),"")))</f>
        <v>1000</v>
      </c>
      <c r="W9" s="37">
        <f t="shared" si="3"/>
        <v>1164</v>
      </c>
      <c r="X9" s="26">
        <v>200</v>
      </c>
      <c r="Y9" s="31">
        <v>10</v>
      </c>
      <c r="Z9" s="32">
        <f t="shared" si="4"/>
        <v>0.1</v>
      </c>
      <c r="AA9" s="38">
        <f t="shared" si="5"/>
        <v>209520</v>
      </c>
    </row>
    <row r="10" spans="1:27">
      <c r="A10" s="25">
        <v>9</v>
      </c>
      <c r="B10" s="26" t="s">
        <v>45</v>
      </c>
      <c r="C10" s="26" t="s">
        <v>46</v>
      </c>
      <c r="D10" s="26" t="str">
        <f t="shared" si="0"/>
        <v>Jonas Fischer</v>
      </c>
      <c r="E10" s="26" t="s">
        <v>15</v>
      </c>
      <c r="F10" s="26" t="s">
        <v>29</v>
      </c>
      <c r="G10" s="26">
        <v>18</v>
      </c>
      <c r="H10" s="26" t="s">
        <v>31</v>
      </c>
      <c r="I10" s="26" t="str">
        <f t="shared" si="1"/>
        <v>Min 18 - Max 28 mph</v>
      </c>
      <c r="J10" s="26">
        <v>25</v>
      </c>
      <c r="K10" s="26" t="s">
        <v>99</v>
      </c>
      <c r="L10" s="26" t="str">
        <f t="shared" si="2"/>
        <v>40233,35 meters</v>
      </c>
      <c r="M10" s="26" t="s">
        <v>53</v>
      </c>
      <c r="N10" s="26" t="s">
        <v>128</v>
      </c>
      <c r="O10" s="26" t="s">
        <v>125</v>
      </c>
      <c r="P10" s="26" t="str">
        <f>IF(Table32[[#This Row],[City]] = " Bengaluru","Asia",IF(Table32[[#This Row],[City]]=" Shanghai", "Asia", "Europe"))</f>
        <v>Europe</v>
      </c>
      <c r="Q10" s="26">
        <v>20095</v>
      </c>
      <c r="R10" s="26" t="s">
        <v>49</v>
      </c>
      <c r="S10" s="26">
        <v>800</v>
      </c>
      <c r="T10" s="28"/>
      <c r="U10" s="26"/>
      <c r="V10" s="33">
        <f>IF(S10&lt;&gt;"",S10,IF(T10&lt;&gt;"",T10*(0.005462),IF(U10&lt;&gt;"",U10*(0.00952),"")))</f>
        <v>800</v>
      </c>
      <c r="W10" s="37">
        <f t="shared" si="3"/>
        <v>931.19999999999993</v>
      </c>
      <c r="X10" s="26">
        <v>150</v>
      </c>
      <c r="Y10" s="31">
        <v>10</v>
      </c>
      <c r="Z10" s="32">
        <f t="shared" si="4"/>
        <v>0.1</v>
      </c>
      <c r="AA10" s="38">
        <f t="shared" si="5"/>
        <v>125712</v>
      </c>
    </row>
    <row r="11" spans="1:27">
      <c r="A11" s="25">
        <v>10</v>
      </c>
      <c r="B11" s="26" t="s">
        <v>55</v>
      </c>
      <c r="C11" s="26" t="s">
        <v>56</v>
      </c>
      <c r="D11" s="26" t="str">
        <f t="shared" si="0"/>
        <v>Théo Bernard</v>
      </c>
      <c r="E11" s="26" t="s">
        <v>15</v>
      </c>
      <c r="F11" s="26" t="s">
        <v>16</v>
      </c>
      <c r="G11" s="26">
        <v>15</v>
      </c>
      <c r="H11" s="26" t="s">
        <v>18</v>
      </c>
      <c r="I11" s="26" t="str">
        <f t="shared" si="1"/>
        <v>Min 15 - Max 30 mph</v>
      </c>
      <c r="J11" s="26">
        <v>30</v>
      </c>
      <c r="K11" s="26" t="s">
        <v>99</v>
      </c>
      <c r="L11" s="26" t="str">
        <f t="shared" si="2"/>
        <v>48280,02 meters</v>
      </c>
      <c r="M11" s="26" t="s">
        <v>57</v>
      </c>
      <c r="N11" s="26" t="s">
        <v>130</v>
      </c>
      <c r="O11" s="26" t="s">
        <v>131</v>
      </c>
      <c r="P11" s="26" t="str">
        <f>IF(Table32[[#This Row],[City]] = " Bengaluru","Asia",IF(Table32[[#This Row],[City]]=" Shanghai", "Asia", "Europe"))</f>
        <v>Europe</v>
      </c>
      <c r="Q11" s="26">
        <v>75005</v>
      </c>
      <c r="R11" s="26" t="s">
        <v>58</v>
      </c>
      <c r="S11" s="26">
        <v>800</v>
      </c>
      <c r="T11" s="28"/>
      <c r="U11" s="26"/>
      <c r="V11" s="33">
        <f>IF(S11&lt;&gt;"",S11,IF(T11&lt;&gt;"",T11*(0.005462),IF(U11&lt;&gt;"",U11*(0.00952),"")))</f>
        <v>800</v>
      </c>
      <c r="W11" s="37">
        <f t="shared" si="3"/>
        <v>931.19999999999993</v>
      </c>
      <c r="X11" s="26">
        <v>100</v>
      </c>
      <c r="Y11" s="31">
        <v>10</v>
      </c>
      <c r="Z11" s="32">
        <f t="shared" si="4"/>
        <v>0.1</v>
      </c>
      <c r="AA11" s="38">
        <f t="shared" si="5"/>
        <v>83808</v>
      </c>
    </row>
    <row r="12" spans="1:27">
      <c r="A12" s="25">
        <v>11</v>
      </c>
      <c r="B12" s="26" t="s">
        <v>55</v>
      </c>
      <c r="C12" s="26" t="s">
        <v>56</v>
      </c>
      <c r="D12" s="26" t="str">
        <f t="shared" si="0"/>
        <v>Théo Bernard</v>
      </c>
      <c r="E12" s="26" t="s">
        <v>15</v>
      </c>
      <c r="F12" s="26" t="s">
        <v>23</v>
      </c>
      <c r="G12" s="26">
        <v>20</v>
      </c>
      <c r="H12" s="26" t="s">
        <v>25</v>
      </c>
      <c r="I12" s="26" t="str">
        <f t="shared" si="1"/>
        <v>Min 20 - Max 35 mph</v>
      </c>
      <c r="J12" s="26">
        <v>64.37</v>
      </c>
      <c r="K12" s="26" t="s">
        <v>115</v>
      </c>
      <c r="L12" s="26" t="str">
        <f t="shared" si="2"/>
        <v>64,37 meters</v>
      </c>
      <c r="M12" s="26" t="s">
        <v>61</v>
      </c>
      <c r="N12" s="26" t="s">
        <v>132</v>
      </c>
      <c r="O12" s="26" t="s">
        <v>131</v>
      </c>
      <c r="P12" s="26" t="str">
        <f>IF(Table32[[#This Row],[City]] = " Bengaluru","Asia",IF(Table32[[#This Row],[City]]=" Shanghai", "Asia", "Europe"))</f>
        <v>Europe</v>
      </c>
      <c r="Q12" s="26">
        <v>75005</v>
      </c>
      <c r="R12" s="26" t="s">
        <v>58</v>
      </c>
      <c r="S12" s="26">
        <v>950</v>
      </c>
      <c r="T12" s="28"/>
      <c r="U12" s="26"/>
      <c r="V12" s="33">
        <f>IF(S12&lt;&gt;"",S12,IF(T12&lt;&gt;"",T12*(0.005462),IF(U12&lt;&gt;"",U12*(0.00952),"")))</f>
        <v>950</v>
      </c>
      <c r="W12" s="37">
        <f t="shared" si="3"/>
        <v>1105.8</v>
      </c>
      <c r="X12" s="26">
        <v>250</v>
      </c>
      <c r="Y12" s="31">
        <v>10</v>
      </c>
      <c r="Z12" s="32">
        <f t="shared" si="4"/>
        <v>0.1</v>
      </c>
      <c r="AA12" s="38">
        <f t="shared" si="5"/>
        <v>248805</v>
      </c>
    </row>
    <row r="13" spans="1:27">
      <c r="A13" s="25">
        <v>12</v>
      </c>
      <c r="B13" s="26" t="s">
        <v>55</v>
      </c>
      <c r="C13" s="26" t="s">
        <v>56</v>
      </c>
      <c r="D13" s="26" t="str">
        <f t="shared" si="0"/>
        <v>Théo Bernard</v>
      </c>
      <c r="E13" s="26" t="s">
        <v>15</v>
      </c>
      <c r="F13" s="26" t="s">
        <v>29</v>
      </c>
      <c r="G13" s="26">
        <v>18</v>
      </c>
      <c r="H13" s="26" t="s">
        <v>31</v>
      </c>
      <c r="I13" s="26" t="str">
        <f t="shared" si="1"/>
        <v>Min 18 - Max 28 mph</v>
      </c>
      <c r="J13" s="26">
        <v>25</v>
      </c>
      <c r="K13" s="26" t="s">
        <v>99</v>
      </c>
      <c r="L13" s="26" t="str">
        <f t="shared" si="2"/>
        <v>40233,35 meters</v>
      </c>
      <c r="M13" s="26" t="s">
        <v>63</v>
      </c>
      <c r="N13" s="26" t="s">
        <v>133</v>
      </c>
      <c r="O13" s="26" t="s">
        <v>131</v>
      </c>
      <c r="P13" s="26" t="str">
        <f>IF(Table32[[#This Row],[City]] = " Bengaluru","Asia",IF(Table32[[#This Row],[City]]=" Shanghai", "Asia", "Europe"))</f>
        <v>Europe</v>
      </c>
      <c r="Q13" s="26">
        <v>75005</v>
      </c>
      <c r="R13" s="26" t="s">
        <v>58</v>
      </c>
      <c r="S13" s="26">
        <v>1100</v>
      </c>
      <c r="T13" s="28"/>
      <c r="U13" s="26"/>
      <c r="V13" s="33">
        <f>IF(S13&lt;&gt;"",S13,IF(T13&lt;&gt;"",T13*(0.005462),IF(U13&lt;&gt;"",U13*(0.00952),"")))</f>
        <v>1100</v>
      </c>
      <c r="W13" s="37">
        <f t="shared" si="3"/>
        <v>1280.3999999999999</v>
      </c>
      <c r="X13" s="26">
        <v>180</v>
      </c>
      <c r="Y13" s="31">
        <v>10</v>
      </c>
      <c r="Z13" s="32">
        <f t="shared" si="4"/>
        <v>0.1</v>
      </c>
      <c r="AA13" s="38">
        <f t="shared" si="5"/>
        <v>207424.8</v>
      </c>
    </row>
    <row r="14" spans="1:27">
      <c r="A14" s="25">
        <v>13</v>
      </c>
      <c r="B14" s="26" t="s">
        <v>13</v>
      </c>
      <c r="C14" s="26" t="s">
        <v>14</v>
      </c>
      <c r="D14" s="26" t="str">
        <f t="shared" si="0"/>
        <v>Sanya Joshi</v>
      </c>
      <c r="E14" s="26" t="s">
        <v>65</v>
      </c>
      <c r="F14" s="26" t="s">
        <v>16</v>
      </c>
      <c r="G14" s="26">
        <v>15</v>
      </c>
      <c r="H14" s="26" t="s">
        <v>18</v>
      </c>
      <c r="I14" s="26" t="str">
        <f t="shared" si="1"/>
        <v>Min 15 - Max 30 mph</v>
      </c>
      <c r="J14" s="26">
        <v>30</v>
      </c>
      <c r="K14" s="26" t="s">
        <v>99</v>
      </c>
      <c r="L14" s="26" t="str">
        <f t="shared" si="2"/>
        <v>48280,02 meters</v>
      </c>
      <c r="M14" s="26" t="s">
        <v>20</v>
      </c>
      <c r="N14" s="26" t="s">
        <v>101</v>
      </c>
      <c r="O14" s="26" t="s">
        <v>102</v>
      </c>
      <c r="P14" s="26" t="str">
        <f>IF(Table32[[#This Row],[City]] = " Bengaluru","Asia",IF(Table32[[#This Row],[City]]=" Shanghai", "Asia", "Europe"))</f>
        <v>Asia</v>
      </c>
      <c r="Q14" s="26">
        <v>560001</v>
      </c>
      <c r="R14" s="26" t="s">
        <v>21</v>
      </c>
      <c r="S14" s="26">
        <v>900</v>
      </c>
      <c r="T14" s="28"/>
      <c r="U14" s="26"/>
      <c r="V14" s="33">
        <f>IF(S14&lt;&gt;"",S14,IF(T14&lt;&gt;"",T14*(0.005462),IF(U14&lt;&gt;"",U14*(0.00952),"")))</f>
        <v>900</v>
      </c>
      <c r="W14" s="37">
        <f t="shared" si="3"/>
        <v>1047.5999999999999</v>
      </c>
      <c r="X14" s="26">
        <v>160</v>
      </c>
      <c r="Y14" s="31">
        <v>0</v>
      </c>
      <c r="Z14" s="32">
        <f t="shared" si="4"/>
        <v>0</v>
      </c>
      <c r="AA14" s="38">
        <f t="shared" si="5"/>
        <v>167616</v>
      </c>
    </row>
    <row r="15" spans="1:27">
      <c r="A15" s="25">
        <v>14</v>
      </c>
      <c r="B15" s="26" t="s">
        <v>13</v>
      </c>
      <c r="C15" s="26" t="s">
        <v>14</v>
      </c>
      <c r="D15" s="26" t="str">
        <f t="shared" si="0"/>
        <v>Sanya Joshi</v>
      </c>
      <c r="E15" s="26" t="s">
        <v>65</v>
      </c>
      <c r="F15" s="26" t="s">
        <v>23</v>
      </c>
      <c r="G15" s="26">
        <v>17.515000000000001</v>
      </c>
      <c r="H15" s="26" t="s">
        <v>25</v>
      </c>
      <c r="I15" s="26" t="str">
        <f t="shared" si="1"/>
        <v>Min 17,515 - Max 35 mph</v>
      </c>
      <c r="J15" s="26">
        <v>40</v>
      </c>
      <c r="K15" s="26" t="s">
        <v>99</v>
      </c>
      <c r="L15" s="26" t="str">
        <f t="shared" si="2"/>
        <v>64373,36 meters</v>
      </c>
      <c r="M15" s="26" t="s">
        <v>27</v>
      </c>
      <c r="N15" s="26" t="s">
        <v>106</v>
      </c>
      <c r="O15" s="26" t="s">
        <v>102</v>
      </c>
      <c r="P15" s="26" t="str">
        <f>IF(Table32[[#This Row],[City]] = " Bengaluru","Asia",IF(Table32[[#This Row],[City]]=" Shanghai", "Asia", "Europe"))</f>
        <v>Asia</v>
      </c>
      <c r="Q15" s="26">
        <v>560001</v>
      </c>
      <c r="R15" s="26" t="s">
        <v>21</v>
      </c>
      <c r="S15" s="26">
        <v>1050</v>
      </c>
      <c r="T15" s="28"/>
      <c r="U15" s="26"/>
      <c r="V15" s="33">
        <f>IF(S15&lt;&gt;"",S15,IF(T15&lt;&gt;"",T15*(0.005462),IF(U15&lt;&gt;"",U15*(0.00952),"")))</f>
        <v>1050</v>
      </c>
      <c r="W15" s="37">
        <f t="shared" si="3"/>
        <v>1222.1999999999998</v>
      </c>
      <c r="X15" s="26">
        <v>350</v>
      </c>
      <c r="Y15" s="31">
        <v>0</v>
      </c>
      <c r="Z15" s="32">
        <f t="shared" si="4"/>
        <v>0</v>
      </c>
      <c r="AA15" s="38">
        <f t="shared" si="5"/>
        <v>427769.99999999994</v>
      </c>
    </row>
    <row r="16" spans="1:27">
      <c r="A16" s="25">
        <v>15</v>
      </c>
      <c r="B16" s="26" t="s">
        <v>13</v>
      </c>
      <c r="C16" s="26" t="s">
        <v>14</v>
      </c>
      <c r="D16" s="26" t="str">
        <f t="shared" si="0"/>
        <v>Sanya Joshi</v>
      </c>
      <c r="E16" s="26" t="s">
        <v>65</v>
      </c>
      <c r="F16" s="26" t="s">
        <v>29</v>
      </c>
      <c r="G16" s="26">
        <v>18</v>
      </c>
      <c r="H16" s="26" t="s">
        <v>31</v>
      </c>
      <c r="I16" s="26" t="str">
        <f t="shared" si="1"/>
        <v>Min 18 - Max 28 mph</v>
      </c>
      <c r="J16" s="26">
        <v>25</v>
      </c>
      <c r="K16" s="26" t="s">
        <v>99</v>
      </c>
      <c r="L16" s="26" t="str">
        <f t="shared" si="2"/>
        <v>40233,35 meters</v>
      </c>
      <c r="M16" s="26" t="s">
        <v>33</v>
      </c>
      <c r="N16" s="26" t="s">
        <v>109</v>
      </c>
      <c r="O16" s="26" t="s">
        <v>102</v>
      </c>
      <c r="P16" s="26" t="str">
        <f>IF(Table32[[#This Row],[City]] = " Bengaluru","Asia",IF(Table32[[#This Row],[City]]=" Shanghai", "Asia", "Europe"))</f>
        <v>Asia</v>
      </c>
      <c r="Q16" s="26">
        <v>560001</v>
      </c>
      <c r="R16" s="26" t="s">
        <v>21</v>
      </c>
      <c r="S16" s="26"/>
      <c r="T16" s="28"/>
      <c r="U16" s="29">
        <v>30000</v>
      </c>
      <c r="V16" s="33">
        <f>IF(S16&lt;&gt;"",S16,IF(T16&lt;&gt;"",T16*(0.005462),IF(U16&lt;&gt;"",U16*(0.00952),"")))</f>
        <v>285.60000000000002</v>
      </c>
      <c r="W16" s="37">
        <f t="shared" si="3"/>
        <v>332.4384</v>
      </c>
      <c r="X16" s="26">
        <v>220</v>
      </c>
      <c r="Y16" s="31">
        <v>0</v>
      </c>
      <c r="Z16" s="32">
        <f t="shared" si="4"/>
        <v>0</v>
      </c>
      <c r="AA16" s="38">
        <f t="shared" si="5"/>
        <v>73136.448000000004</v>
      </c>
    </row>
    <row r="17" spans="1:27">
      <c r="A17" s="25">
        <v>16</v>
      </c>
      <c r="B17" s="26" t="s">
        <v>35</v>
      </c>
      <c r="C17" s="26" t="s">
        <v>36</v>
      </c>
      <c r="D17" s="26" t="str">
        <f t="shared" si="0"/>
        <v>Fang Liu</v>
      </c>
      <c r="E17" s="26" t="s">
        <v>65</v>
      </c>
      <c r="F17" s="26" t="s">
        <v>16</v>
      </c>
      <c r="G17" s="26">
        <v>15</v>
      </c>
      <c r="H17" s="26" t="s">
        <v>18</v>
      </c>
      <c r="I17" s="26" t="str">
        <f t="shared" si="1"/>
        <v>Min 15 - Max 30 mph</v>
      </c>
      <c r="J17" s="26">
        <v>48.28</v>
      </c>
      <c r="K17" s="26" t="s">
        <v>115</v>
      </c>
      <c r="L17" s="26" t="str">
        <f t="shared" si="2"/>
        <v>48,28 meters</v>
      </c>
      <c r="M17" s="26" t="s">
        <v>37</v>
      </c>
      <c r="N17" s="26" t="s">
        <v>111</v>
      </c>
      <c r="O17" s="26" t="s">
        <v>112</v>
      </c>
      <c r="P17" s="26" t="str">
        <f>IF(Table32[[#This Row],[City]] = " Bengaluru","Asia",IF(Table32[[#This Row],[City]]=" Shanghai", "Asia", "Europe"))</f>
        <v>Asia</v>
      </c>
      <c r="Q17" s="26">
        <v>200001</v>
      </c>
      <c r="R17" s="26" t="s">
        <v>38</v>
      </c>
      <c r="S17" s="26"/>
      <c r="T17" s="28"/>
      <c r="U17" s="29">
        <v>25000</v>
      </c>
      <c r="V17" s="33">
        <f>IF(S17&lt;&gt;"",S17,IF(T17&lt;&gt;"",T17*(0.005462),IF(U17&lt;&gt;"",U17*(0.00952),"")))</f>
        <v>238.00000000000003</v>
      </c>
      <c r="W17" s="37">
        <f t="shared" si="3"/>
        <v>277.03200000000004</v>
      </c>
      <c r="X17" s="26">
        <v>550</v>
      </c>
      <c r="Y17" s="31">
        <v>0</v>
      </c>
      <c r="Z17" s="32">
        <f t="shared" si="4"/>
        <v>0</v>
      </c>
      <c r="AA17" s="38">
        <f t="shared" si="5"/>
        <v>152367.60000000003</v>
      </c>
    </row>
    <row r="18" spans="1:27">
      <c r="A18" s="25">
        <v>17</v>
      </c>
      <c r="B18" s="26" t="s">
        <v>35</v>
      </c>
      <c r="C18" s="26" t="s">
        <v>36</v>
      </c>
      <c r="D18" s="26" t="str">
        <f t="shared" si="0"/>
        <v>Fang Liu</v>
      </c>
      <c r="E18" s="26" t="s">
        <v>65</v>
      </c>
      <c r="F18" s="26" t="s">
        <v>23</v>
      </c>
      <c r="G18" s="26">
        <v>20</v>
      </c>
      <c r="H18" s="26" t="s">
        <v>25</v>
      </c>
      <c r="I18" s="26" t="str">
        <f t="shared" si="1"/>
        <v>Min 20 - Max 35 mph</v>
      </c>
      <c r="J18" s="26">
        <v>40</v>
      </c>
      <c r="K18" s="26" t="s">
        <v>99</v>
      </c>
      <c r="L18" s="26" t="str">
        <f t="shared" si="2"/>
        <v>64373,36 meters</v>
      </c>
      <c r="M18" s="26" t="s">
        <v>40</v>
      </c>
      <c r="N18" s="26" t="s">
        <v>113</v>
      </c>
      <c r="O18" s="26" t="s">
        <v>112</v>
      </c>
      <c r="P18" s="26" t="str">
        <f>IF(Table32[[#This Row],[City]] = " Bengaluru","Asia",IF(Table32[[#This Row],[City]]=" Shanghai", "Asia", "Europe"))</f>
        <v>Asia</v>
      </c>
      <c r="Q18" s="26">
        <v>200001</v>
      </c>
      <c r="R18" s="26" t="s">
        <v>38</v>
      </c>
      <c r="S18" s="26"/>
      <c r="T18" s="28"/>
      <c r="U18" s="29">
        <v>22000</v>
      </c>
      <c r="V18" s="33">
        <f>IF(S18&lt;&gt;"",S18,IF(T18&lt;&gt;"",T18*(0.005462),IF(U18&lt;&gt;"",U18*(0.00952),"")))</f>
        <v>209.44000000000003</v>
      </c>
      <c r="W18" s="37">
        <f t="shared" si="3"/>
        <v>243.78816</v>
      </c>
      <c r="X18" s="26">
        <v>1200</v>
      </c>
      <c r="Y18" s="31">
        <v>0</v>
      </c>
      <c r="Z18" s="32">
        <f t="shared" si="4"/>
        <v>0</v>
      </c>
      <c r="AA18" s="38">
        <f t="shared" si="5"/>
        <v>292545.79200000002</v>
      </c>
    </row>
    <row r="19" spans="1:27">
      <c r="A19" s="25">
        <v>18</v>
      </c>
      <c r="B19" s="26" t="s">
        <v>35</v>
      </c>
      <c r="C19" s="26" t="s">
        <v>36</v>
      </c>
      <c r="D19" s="26" t="str">
        <f t="shared" si="0"/>
        <v>Fang Liu</v>
      </c>
      <c r="E19" s="26" t="s">
        <v>65</v>
      </c>
      <c r="F19" s="26" t="s">
        <v>29</v>
      </c>
      <c r="G19" s="26">
        <v>18</v>
      </c>
      <c r="H19" s="26" t="s">
        <v>31</v>
      </c>
      <c r="I19" s="26" t="str">
        <f t="shared" si="1"/>
        <v>Min 18 - Max 28 mph</v>
      </c>
      <c r="J19" s="26">
        <v>25</v>
      </c>
      <c r="K19" s="26" t="s">
        <v>99</v>
      </c>
      <c r="L19" s="26" t="str">
        <f t="shared" si="2"/>
        <v>40233,35 meters</v>
      </c>
      <c r="M19" s="26" t="s">
        <v>43</v>
      </c>
      <c r="N19" s="26" t="s">
        <v>117</v>
      </c>
      <c r="O19" s="26" t="s">
        <v>112</v>
      </c>
      <c r="P19" s="26" t="str">
        <f>IF(Table32[[#This Row],[City]] = " Bengaluru","Asia",IF(Table32[[#This Row],[City]]=" Shanghai", "Asia", "Europe"))</f>
        <v>Asia</v>
      </c>
      <c r="Q19" s="26">
        <v>200001</v>
      </c>
      <c r="R19" s="26" t="s">
        <v>38</v>
      </c>
      <c r="S19" s="26"/>
      <c r="T19" s="28">
        <v>5000</v>
      </c>
      <c r="U19" s="26"/>
      <c r="V19" s="33">
        <f>IF(S19&lt;&gt;"",S19,IF(T19&lt;&gt;"",T19*(0.005462),IF(U19&lt;&gt;"",U19*(0.00952),"")))</f>
        <v>27.31</v>
      </c>
      <c r="W19" s="37">
        <f t="shared" si="3"/>
        <v>31.788839999999997</v>
      </c>
      <c r="X19" s="26">
        <v>850</v>
      </c>
      <c r="Y19" s="31">
        <v>0</v>
      </c>
      <c r="Z19" s="32">
        <f t="shared" si="4"/>
        <v>0</v>
      </c>
      <c r="AA19" s="38">
        <f t="shared" si="5"/>
        <v>27020.513999999996</v>
      </c>
    </row>
    <row r="20" spans="1:27">
      <c r="A20" s="25">
        <v>19</v>
      </c>
      <c r="B20" s="26" t="s">
        <v>45</v>
      </c>
      <c r="C20" s="26" t="s">
        <v>46</v>
      </c>
      <c r="D20" s="26" t="str">
        <f t="shared" si="0"/>
        <v>Jonas Fischer</v>
      </c>
      <c r="E20" s="26" t="s">
        <v>65</v>
      </c>
      <c r="F20" s="26" t="s">
        <v>16</v>
      </c>
      <c r="G20" s="26">
        <v>15</v>
      </c>
      <c r="H20" s="26" t="s">
        <v>18</v>
      </c>
      <c r="I20" s="26" t="str">
        <f t="shared" si="1"/>
        <v>Min 15 - Max 30 mph</v>
      </c>
      <c r="J20" s="26">
        <v>30</v>
      </c>
      <c r="K20" s="26" t="s">
        <v>99</v>
      </c>
      <c r="L20" s="26" t="str">
        <f t="shared" si="2"/>
        <v>48280,02 meters</v>
      </c>
      <c r="M20" s="26" t="s">
        <v>48</v>
      </c>
      <c r="N20" s="26" t="s">
        <v>124</v>
      </c>
      <c r="O20" s="26" t="s">
        <v>125</v>
      </c>
      <c r="P20" s="26" t="str">
        <f>IF(Table32[[#This Row],[City]] = " Bengaluru","Asia",IF(Table32[[#This Row],[City]]=" Shanghai", "Asia", "Europe"))</f>
        <v>Europe</v>
      </c>
      <c r="Q20" s="26">
        <v>20095</v>
      </c>
      <c r="R20" s="26" t="s">
        <v>49</v>
      </c>
      <c r="S20" s="26"/>
      <c r="T20" s="28">
        <v>3500</v>
      </c>
      <c r="U20" s="26"/>
      <c r="V20" s="33">
        <f>IF(S20&lt;&gt;"",S20,IF(T20&lt;&gt;"",T20*(0.005462),IF(U20&lt;&gt;"",U20*(0.00952),"")))</f>
        <v>19.117000000000001</v>
      </c>
      <c r="W20" s="37">
        <f t="shared" si="3"/>
        <v>22.252188</v>
      </c>
      <c r="X20" s="26">
        <v>130</v>
      </c>
      <c r="Y20" s="31">
        <v>0</v>
      </c>
      <c r="Z20" s="32">
        <f t="shared" si="4"/>
        <v>0</v>
      </c>
      <c r="AA20" s="38">
        <f t="shared" si="5"/>
        <v>2892.7844399999999</v>
      </c>
    </row>
    <row r="21" spans="1:27">
      <c r="A21" s="25">
        <v>20</v>
      </c>
      <c r="B21" s="26" t="s">
        <v>45</v>
      </c>
      <c r="C21" s="26" t="s">
        <v>46</v>
      </c>
      <c r="D21" s="26" t="str">
        <f t="shared" si="0"/>
        <v>Jonas Fischer</v>
      </c>
      <c r="E21" s="26" t="s">
        <v>65</v>
      </c>
      <c r="F21" s="26" t="s">
        <v>23</v>
      </c>
      <c r="G21" s="26">
        <v>20</v>
      </c>
      <c r="H21" s="26" t="s">
        <v>25</v>
      </c>
      <c r="I21" s="26" t="str">
        <f t="shared" si="1"/>
        <v>Min 20 - Max 35 mph</v>
      </c>
      <c r="J21" s="26">
        <v>40</v>
      </c>
      <c r="K21" s="26" t="s">
        <v>99</v>
      </c>
      <c r="L21" s="26" t="str">
        <f t="shared" si="2"/>
        <v>64373,36 meters</v>
      </c>
      <c r="M21" s="26" t="s">
        <v>51</v>
      </c>
      <c r="N21" s="26" t="s">
        <v>127</v>
      </c>
      <c r="O21" s="26" t="s">
        <v>125</v>
      </c>
      <c r="P21" s="26" t="str">
        <f>IF(Table32[[#This Row],[City]] = " Bengaluru","Asia",IF(Table32[[#This Row],[City]]=" Shanghai", "Asia", "Europe"))</f>
        <v>Europe</v>
      </c>
      <c r="Q21" s="26">
        <v>20095</v>
      </c>
      <c r="R21" s="26" t="s">
        <v>49</v>
      </c>
      <c r="S21" s="26"/>
      <c r="T21" s="28">
        <v>3500</v>
      </c>
      <c r="U21" s="26"/>
      <c r="V21" s="33">
        <f>IF(S21&lt;&gt;"",S21,IF(T21&lt;&gt;"",T21*(0.005462),IF(U21&lt;&gt;"",U21*(0.00952),"")))</f>
        <v>19.117000000000001</v>
      </c>
      <c r="W21" s="37">
        <f t="shared" si="3"/>
        <v>22.252188</v>
      </c>
      <c r="X21" s="26">
        <v>220</v>
      </c>
      <c r="Y21" s="31">
        <v>0</v>
      </c>
      <c r="Z21" s="32">
        <f t="shared" si="4"/>
        <v>0</v>
      </c>
      <c r="AA21" s="38">
        <f t="shared" si="5"/>
        <v>4895.4813599999998</v>
      </c>
    </row>
    <row r="22" spans="1:27">
      <c r="A22" s="25">
        <v>21</v>
      </c>
      <c r="B22" s="26" t="s">
        <v>45</v>
      </c>
      <c r="C22" s="26" t="s">
        <v>46</v>
      </c>
      <c r="D22" s="26" t="str">
        <f t="shared" si="0"/>
        <v>Jonas Fischer</v>
      </c>
      <c r="E22" s="26" t="s">
        <v>65</v>
      </c>
      <c r="F22" s="26" t="s">
        <v>29</v>
      </c>
      <c r="G22" s="26">
        <v>18</v>
      </c>
      <c r="H22" s="26" t="s">
        <v>31</v>
      </c>
      <c r="I22" s="26" t="str">
        <f t="shared" si="1"/>
        <v>Min 18 - Max 28 mph</v>
      </c>
      <c r="J22" s="26">
        <v>25</v>
      </c>
      <c r="K22" s="26" t="s">
        <v>99</v>
      </c>
      <c r="L22" s="26" t="str">
        <f t="shared" si="2"/>
        <v>40233,35 meters</v>
      </c>
      <c r="M22" s="26" t="s">
        <v>53</v>
      </c>
      <c r="N22" s="26" t="s">
        <v>128</v>
      </c>
      <c r="O22" s="26" t="s">
        <v>125</v>
      </c>
      <c r="P22" s="26" t="str">
        <f>IF(Table32[[#This Row],[City]] = " Bengaluru","Asia",IF(Table32[[#This Row],[City]]=" Shanghai", "Asia", "Europe"))</f>
        <v>Europe</v>
      </c>
      <c r="Q22" s="26">
        <v>20095</v>
      </c>
      <c r="R22" s="26" t="s">
        <v>49</v>
      </c>
      <c r="S22" s="26"/>
      <c r="T22" s="28">
        <v>4200</v>
      </c>
      <c r="U22" s="26"/>
      <c r="V22" s="33">
        <f>IF(S22&lt;&gt;"",S22,IF(T22&lt;&gt;"",T22*(0.005462),IF(U22&lt;&gt;"",U22*(0.00952),"")))</f>
        <v>22.9404</v>
      </c>
      <c r="W22" s="37">
        <f t="shared" si="3"/>
        <v>26.702625599999998</v>
      </c>
      <c r="X22" s="26">
        <v>160</v>
      </c>
      <c r="Y22" s="31">
        <v>0</v>
      </c>
      <c r="Z22" s="32">
        <f t="shared" si="4"/>
        <v>0</v>
      </c>
      <c r="AA22" s="38">
        <f t="shared" si="5"/>
        <v>4272.4200959999998</v>
      </c>
    </row>
    <row r="23" spans="1:27">
      <c r="A23" s="25">
        <v>22</v>
      </c>
      <c r="B23" s="26" t="s">
        <v>55</v>
      </c>
      <c r="C23" s="26" t="s">
        <v>56</v>
      </c>
      <c r="D23" s="26" t="str">
        <f t="shared" si="0"/>
        <v>Théo Bernard</v>
      </c>
      <c r="E23" s="26" t="s">
        <v>65</v>
      </c>
      <c r="F23" s="26" t="s">
        <v>16</v>
      </c>
      <c r="G23" s="26">
        <v>15</v>
      </c>
      <c r="H23" s="26" t="s">
        <v>18</v>
      </c>
      <c r="I23" s="26" t="str">
        <f t="shared" si="1"/>
        <v>Min 15 - Max 30 mph</v>
      </c>
      <c r="J23" s="26">
        <v>30</v>
      </c>
      <c r="K23" s="26" t="s">
        <v>99</v>
      </c>
      <c r="L23" s="26" t="str">
        <f t="shared" si="2"/>
        <v>48280,02 meters</v>
      </c>
      <c r="M23" s="26" t="s">
        <v>57</v>
      </c>
      <c r="N23" s="26" t="s">
        <v>130</v>
      </c>
      <c r="O23" s="26" t="s">
        <v>131</v>
      </c>
      <c r="P23" s="26" t="str">
        <f>IF(Table32[[#This Row],[City]] = " Bengaluru","Asia",IF(Table32[[#This Row],[City]]=" Shanghai", "Asia", "Europe"))</f>
        <v>Europe</v>
      </c>
      <c r="Q23" s="26">
        <v>75005</v>
      </c>
      <c r="R23" s="26" t="s">
        <v>58</v>
      </c>
      <c r="S23" s="26">
        <v>1000</v>
      </c>
      <c r="T23" s="28"/>
      <c r="U23" s="26"/>
      <c r="V23" s="33">
        <f>IF(S23&lt;&gt;"",S23,IF(T23&lt;&gt;"",T23*(0.005462),IF(U23&lt;&gt;"",U23*(0.00952),"")))</f>
        <v>1000</v>
      </c>
      <c r="W23" s="37">
        <f t="shared" si="3"/>
        <v>1164</v>
      </c>
      <c r="X23" s="26">
        <v>110</v>
      </c>
      <c r="Y23" s="31">
        <v>0</v>
      </c>
      <c r="Z23" s="32">
        <f t="shared" si="4"/>
        <v>0</v>
      </c>
      <c r="AA23" s="38">
        <f t="shared" si="5"/>
        <v>128040</v>
      </c>
    </row>
    <row r="24" spans="1:27">
      <c r="A24" s="25">
        <v>23</v>
      </c>
      <c r="B24" s="26" t="s">
        <v>55</v>
      </c>
      <c r="C24" s="26" t="s">
        <v>56</v>
      </c>
      <c r="D24" s="26" t="str">
        <f t="shared" si="0"/>
        <v>Théo Bernard</v>
      </c>
      <c r="E24" s="26" t="s">
        <v>65</v>
      </c>
      <c r="F24" s="26" t="s">
        <v>23</v>
      </c>
      <c r="G24" s="26">
        <v>20</v>
      </c>
      <c r="H24" s="26" t="s">
        <v>25</v>
      </c>
      <c r="I24" s="26" t="str">
        <f t="shared" si="1"/>
        <v>Min 20 - Max 35 mph</v>
      </c>
      <c r="J24" s="26">
        <v>40</v>
      </c>
      <c r="K24" s="26" t="s">
        <v>99</v>
      </c>
      <c r="L24" s="26" t="str">
        <f t="shared" si="2"/>
        <v>64373,36 meters</v>
      </c>
      <c r="M24" s="26" t="s">
        <v>61</v>
      </c>
      <c r="N24" s="26" t="s">
        <v>132</v>
      </c>
      <c r="O24" s="26" t="s">
        <v>131</v>
      </c>
      <c r="P24" s="26" t="str">
        <f>IF(Table32[[#This Row],[City]] = " Bengaluru","Asia",IF(Table32[[#This Row],[City]]=" Shanghai", "Asia", "Europe"))</f>
        <v>Europe</v>
      </c>
      <c r="Q24" s="26">
        <v>75005</v>
      </c>
      <c r="R24" s="26" t="s">
        <v>58</v>
      </c>
      <c r="S24" s="26">
        <v>800</v>
      </c>
      <c r="T24" s="28"/>
      <c r="U24" s="26"/>
      <c r="V24" s="33">
        <f>IF(S24&lt;&gt;"",S24,IF(T24&lt;&gt;"",T24*(0.005462),IF(U24&lt;&gt;"",U24*(0.00952),"")))</f>
        <v>800</v>
      </c>
      <c r="W24" s="37">
        <f t="shared" si="3"/>
        <v>931.19999999999993</v>
      </c>
      <c r="X24" s="26">
        <v>260</v>
      </c>
      <c r="Y24" s="31">
        <v>0</v>
      </c>
      <c r="Z24" s="32">
        <f t="shared" si="4"/>
        <v>0</v>
      </c>
      <c r="AA24" s="38">
        <f t="shared" si="5"/>
        <v>242111.99999999997</v>
      </c>
    </row>
    <row r="25" spans="1:27">
      <c r="A25" s="25">
        <v>24</v>
      </c>
      <c r="B25" s="26" t="s">
        <v>55</v>
      </c>
      <c r="C25" s="26" t="s">
        <v>56</v>
      </c>
      <c r="D25" s="26" t="str">
        <f t="shared" si="0"/>
        <v>Théo Bernard</v>
      </c>
      <c r="E25" s="26" t="s">
        <v>65</v>
      </c>
      <c r="F25" s="26" t="s">
        <v>29</v>
      </c>
      <c r="G25" s="26">
        <v>18</v>
      </c>
      <c r="H25" s="26" t="s">
        <v>31</v>
      </c>
      <c r="I25" s="26" t="str">
        <f t="shared" si="1"/>
        <v>Min 18 - Max 28 mph</v>
      </c>
      <c r="J25" s="26">
        <v>40.229999999999997</v>
      </c>
      <c r="K25" s="26" t="s">
        <v>115</v>
      </c>
      <c r="L25" s="26" t="str">
        <f t="shared" si="2"/>
        <v>40,23 meters</v>
      </c>
      <c r="M25" s="26" t="s">
        <v>63</v>
      </c>
      <c r="N25" s="26" t="s">
        <v>133</v>
      </c>
      <c r="O25" s="26" t="s">
        <v>131</v>
      </c>
      <c r="P25" s="26" t="str">
        <f>IF(Table32[[#This Row],[City]] = " Bengaluru","Asia",IF(Table32[[#This Row],[City]]=" Shanghai", "Asia", "Europe"))</f>
        <v>Europe</v>
      </c>
      <c r="Q25" s="26">
        <v>75005</v>
      </c>
      <c r="R25" s="26" t="s">
        <v>58</v>
      </c>
      <c r="S25" s="26">
        <v>950</v>
      </c>
      <c r="T25" s="28"/>
      <c r="U25" s="26"/>
      <c r="V25" s="33">
        <f>IF(S25&lt;&gt;"",S25,IF(T25&lt;&gt;"",T25*(0.005462),IF(U25&lt;&gt;"",U25*(0.00952),"")))</f>
        <v>950</v>
      </c>
      <c r="W25" s="37">
        <f t="shared" si="3"/>
        <v>1105.8</v>
      </c>
      <c r="X25" s="26">
        <v>200</v>
      </c>
      <c r="Y25" s="31">
        <v>0</v>
      </c>
      <c r="Z25" s="32">
        <f t="shared" si="4"/>
        <v>0</v>
      </c>
      <c r="AA25" s="38">
        <f t="shared" si="5"/>
        <v>221160</v>
      </c>
    </row>
    <row r="26" spans="1:27">
      <c r="A26" s="25">
        <v>25</v>
      </c>
      <c r="B26" s="26" t="s">
        <v>13</v>
      </c>
      <c r="C26" s="26" t="s">
        <v>14</v>
      </c>
      <c r="D26" s="26" t="str">
        <f t="shared" si="0"/>
        <v>Sanya Joshi</v>
      </c>
      <c r="E26" s="26" t="s">
        <v>66</v>
      </c>
      <c r="F26" s="26" t="s">
        <v>16</v>
      </c>
      <c r="G26" s="26">
        <v>15</v>
      </c>
      <c r="H26" s="26" t="s">
        <v>18</v>
      </c>
      <c r="I26" s="26" t="str">
        <f t="shared" si="1"/>
        <v>Min 15 - Max 30 mph</v>
      </c>
      <c r="J26" s="26">
        <v>30</v>
      </c>
      <c r="K26" s="26" t="s">
        <v>99</v>
      </c>
      <c r="L26" s="26" t="str">
        <f t="shared" si="2"/>
        <v>48280,02 meters</v>
      </c>
      <c r="M26" s="26" t="s">
        <v>20</v>
      </c>
      <c r="N26" s="26" t="s">
        <v>101</v>
      </c>
      <c r="O26" s="26" t="s">
        <v>102</v>
      </c>
      <c r="P26" s="26" t="str">
        <f>IF(Table32[[#This Row],[City]] = " Bengaluru","Asia",IF(Table32[[#This Row],[City]]=" Shanghai", "Asia", "Europe"))</f>
        <v>Asia</v>
      </c>
      <c r="Q26" s="26">
        <v>560001</v>
      </c>
      <c r="R26" s="26" t="s">
        <v>21</v>
      </c>
      <c r="S26" s="26">
        <v>1100</v>
      </c>
      <c r="T26" s="28"/>
      <c r="U26" s="26"/>
      <c r="V26" s="33">
        <f>IF(S26&lt;&gt;"",S26,IF(T26&lt;&gt;"",T26*(0.005462),IF(U26&lt;&gt;"",U26*(0.00952),"")))</f>
        <v>1100</v>
      </c>
      <c r="W26" s="37">
        <f t="shared" si="3"/>
        <v>1280.3999999999999</v>
      </c>
      <c r="X26" s="26">
        <v>160</v>
      </c>
      <c r="Y26" s="31">
        <v>0</v>
      </c>
      <c r="Z26" s="32">
        <f t="shared" si="4"/>
        <v>0</v>
      </c>
      <c r="AA26" s="38">
        <f t="shared" si="5"/>
        <v>204863.99999999997</v>
      </c>
    </row>
    <row r="27" spans="1:27">
      <c r="A27" s="25">
        <v>26</v>
      </c>
      <c r="B27" s="26" t="s">
        <v>13</v>
      </c>
      <c r="C27" s="26" t="s">
        <v>14</v>
      </c>
      <c r="D27" s="26" t="str">
        <f t="shared" si="0"/>
        <v>Sanya Joshi</v>
      </c>
      <c r="E27" s="26" t="s">
        <v>66</v>
      </c>
      <c r="F27" s="26" t="s">
        <v>23</v>
      </c>
      <c r="G27" s="26">
        <v>17.515000000000001</v>
      </c>
      <c r="H27" s="26" t="s">
        <v>25</v>
      </c>
      <c r="I27" s="26" t="str">
        <f t="shared" si="1"/>
        <v>Min 17,515 - Max 35 mph</v>
      </c>
      <c r="J27" s="26">
        <v>40</v>
      </c>
      <c r="K27" s="26" t="s">
        <v>99</v>
      </c>
      <c r="L27" s="26" t="str">
        <f t="shared" si="2"/>
        <v>64373,36 meters</v>
      </c>
      <c r="M27" s="26" t="s">
        <v>27</v>
      </c>
      <c r="N27" s="26" t="s">
        <v>106</v>
      </c>
      <c r="O27" s="26" t="s">
        <v>102</v>
      </c>
      <c r="P27" s="26" t="str">
        <f>IF(Table32[[#This Row],[City]] = " Bengaluru","Asia",IF(Table32[[#This Row],[City]]=" Shanghai", "Asia", "Europe"))</f>
        <v>Asia</v>
      </c>
      <c r="Q27" s="26">
        <v>560001</v>
      </c>
      <c r="R27" s="26" t="s">
        <v>21</v>
      </c>
      <c r="S27" s="26">
        <v>900</v>
      </c>
      <c r="T27" s="28"/>
      <c r="U27" s="26"/>
      <c r="V27" s="33">
        <f>IF(S27&lt;&gt;"",S27,IF(T27&lt;&gt;"",T27*(0.005462),IF(U27&lt;&gt;"",U27*(0.00952),"")))</f>
        <v>900</v>
      </c>
      <c r="W27" s="37">
        <f t="shared" si="3"/>
        <v>1047.5999999999999</v>
      </c>
      <c r="X27" s="26">
        <v>350</v>
      </c>
      <c r="Y27" s="31">
        <v>0</v>
      </c>
      <c r="Z27" s="32">
        <f t="shared" si="4"/>
        <v>0</v>
      </c>
      <c r="AA27" s="38">
        <f t="shared" si="5"/>
        <v>366659.99999999994</v>
      </c>
    </row>
    <row r="28" spans="1:27">
      <c r="A28" s="25">
        <v>27</v>
      </c>
      <c r="B28" s="26" t="s">
        <v>13</v>
      </c>
      <c r="C28" s="26" t="s">
        <v>14</v>
      </c>
      <c r="D28" s="26" t="str">
        <f t="shared" si="0"/>
        <v>Sanya Joshi</v>
      </c>
      <c r="E28" s="26" t="s">
        <v>66</v>
      </c>
      <c r="F28" s="26" t="s">
        <v>29</v>
      </c>
      <c r="G28" s="26">
        <v>18</v>
      </c>
      <c r="H28" s="26" t="s">
        <v>31</v>
      </c>
      <c r="I28" s="26" t="str">
        <f t="shared" si="1"/>
        <v>Min 18 - Max 28 mph</v>
      </c>
      <c r="J28" s="26">
        <v>25</v>
      </c>
      <c r="K28" s="26" t="s">
        <v>99</v>
      </c>
      <c r="L28" s="26" t="str">
        <f t="shared" si="2"/>
        <v>40233,35 meters</v>
      </c>
      <c r="M28" s="26" t="s">
        <v>33</v>
      </c>
      <c r="N28" s="26" t="s">
        <v>109</v>
      </c>
      <c r="O28" s="26" t="s">
        <v>102</v>
      </c>
      <c r="P28" s="26" t="str">
        <f>IF(Table32[[#This Row],[City]] = " Bengaluru","Asia",IF(Table32[[#This Row],[City]]=" Shanghai", "Asia", "Europe"))</f>
        <v>Asia</v>
      </c>
      <c r="Q28" s="26">
        <v>560001</v>
      </c>
      <c r="R28" s="26" t="s">
        <v>21</v>
      </c>
      <c r="S28" s="26">
        <v>900</v>
      </c>
      <c r="T28" s="28"/>
      <c r="U28" s="26"/>
      <c r="V28" s="33">
        <f>IF(S28&lt;&gt;"",S28,IF(T28&lt;&gt;"",T28*(0.005462),IF(U28&lt;&gt;"",U28*(0.00952),"")))</f>
        <v>900</v>
      </c>
      <c r="W28" s="37">
        <f t="shared" si="3"/>
        <v>1047.5999999999999</v>
      </c>
      <c r="X28" s="26">
        <v>220</v>
      </c>
      <c r="Y28" s="31">
        <v>0</v>
      </c>
      <c r="Z28" s="32">
        <f t="shared" si="4"/>
        <v>0</v>
      </c>
      <c r="AA28" s="38">
        <f t="shared" si="5"/>
        <v>230471.99999999997</v>
      </c>
    </row>
    <row r="29" spans="1:27">
      <c r="A29" s="25">
        <v>28</v>
      </c>
      <c r="B29" s="26" t="s">
        <v>35</v>
      </c>
      <c r="C29" s="26" t="s">
        <v>36</v>
      </c>
      <c r="D29" s="26" t="str">
        <f t="shared" si="0"/>
        <v>Fang Liu</v>
      </c>
      <c r="E29" s="26" t="s">
        <v>66</v>
      </c>
      <c r="F29" s="26" t="s">
        <v>16</v>
      </c>
      <c r="G29" s="26">
        <v>15</v>
      </c>
      <c r="H29" s="26" t="s">
        <v>18</v>
      </c>
      <c r="I29" s="26" t="str">
        <f t="shared" si="1"/>
        <v>Min 15 - Max 30 mph</v>
      </c>
      <c r="J29" s="26">
        <v>30</v>
      </c>
      <c r="K29" s="26" t="s">
        <v>99</v>
      </c>
      <c r="L29" s="26" t="str">
        <f t="shared" si="2"/>
        <v>48280,02 meters</v>
      </c>
      <c r="M29" s="26" t="s">
        <v>37</v>
      </c>
      <c r="N29" s="26" t="s">
        <v>111</v>
      </c>
      <c r="O29" s="26" t="s">
        <v>112</v>
      </c>
      <c r="P29" s="26" t="str">
        <f>IF(Table32[[#This Row],[City]] = " Bengaluru","Asia",IF(Table32[[#This Row],[City]]=" Shanghai", "Asia", "Europe"))</f>
        <v>Asia</v>
      </c>
      <c r="Q29" s="26">
        <v>200001</v>
      </c>
      <c r="R29" s="26" t="s">
        <v>38</v>
      </c>
      <c r="S29" s="26">
        <v>1050</v>
      </c>
      <c r="T29" s="28"/>
      <c r="U29" s="26"/>
      <c r="V29" s="33">
        <f>IF(S29&lt;&gt;"",S29,IF(T29&lt;&gt;"",T29*(0.005462),IF(U29&lt;&gt;"",U29*(0.00952),"")))</f>
        <v>1050</v>
      </c>
      <c r="W29" s="37">
        <f t="shared" si="3"/>
        <v>1222.1999999999998</v>
      </c>
      <c r="X29" s="26">
        <v>550</v>
      </c>
      <c r="Y29" s="31">
        <v>0</v>
      </c>
      <c r="Z29" s="32">
        <f t="shared" si="4"/>
        <v>0</v>
      </c>
      <c r="AA29" s="38">
        <f t="shared" si="5"/>
        <v>672209.99999999988</v>
      </c>
    </row>
    <row r="30" spans="1:27">
      <c r="A30" s="25">
        <v>29</v>
      </c>
      <c r="B30" s="26" t="s">
        <v>35</v>
      </c>
      <c r="C30" s="26" t="s">
        <v>36</v>
      </c>
      <c r="D30" s="26" t="str">
        <f t="shared" si="0"/>
        <v>Fang Liu</v>
      </c>
      <c r="E30" s="26" t="s">
        <v>66</v>
      </c>
      <c r="F30" s="26" t="s">
        <v>23</v>
      </c>
      <c r="G30" s="26">
        <v>20</v>
      </c>
      <c r="H30" s="26" t="s">
        <v>25</v>
      </c>
      <c r="I30" s="26" t="str">
        <f t="shared" si="1"/>
        <v>Min 20 - Max 35 mph</v>
      </c>
      <c r="J30" s="26">
        <v>64.37</v>
      </c>
      <c r="K30" s="26" t="s">
        <v>115</v>
      </c>
      <c r="L30" s="26" t="str">
        <f t="shared" si="2"/>
        <v>64,37 meters</v>
      </c>
      <c r="M30" s="26" t="s">
        <v>40</v>
      </c>
      <c r="N30" s="26" t="s">
        <v>113</v>
      </c>
      <c r="O30" s="26" t="s">
        <v>112</v>
      </c>
      <c r="P30" s="26" t="str">
        <f>IF(Table32[[#This Row],[City]] = " Bengaluru","Asia",IF(Table32[[#This Row],[City]]=" Shanghai", "Asia", "Europe"))</f>
        <v>Asia</v>
      </c>
      <c r="Q30" s="26">
        <v>200001</v>
      </c>
      <c r="R30" s="26" t="s">
        <v>38</v>
      </c>
      <c r="S30" s="26"/>
      <c r="T30" s="28"/>
      <c r="U30" s="29">
        <v>30000</v>
      </c>
      <c r="V30" s="33">
        <f>IF(S30&lt;&gt;"",S30,IF(T30&lt;&gt;"",T30*(0.005462),IF(U30&lt;&gt;"",U30*(0.00952),"")))</f>
        <v>285.60000000000002</v>
      </c>
      <c r="W30" s="37">
        <f t="shared" si="3"/>
        <v>332.4384</v>
      </c>
      <c r="X30" s="26">
        <v>1200</v>
      </c>
      <c r="Y30" s="31">
        <v>0</v>
      </c>
      <c r="Z30" s="32">
        <f t="shared" si="4"/>
        <v>0</v>
      </c>
      <c r="AA30" s="38">
        <f t="shared" si="5"/>
        <v>398926.08000000002</v>
      </c>
    </row>
    <row r="31" spans="1:27">
      <c r="A31" s="25">
        <v>30</v>
      </c>
      <c r="B31" s="26" t="s">
        <v>35</v>
      </c>
      <c r="C31" s="26" t="s">
        <v>36</v>
      </c>
      <c r="D31" s="26" t="str">
        <f t="shared" si="0"/>
        <v>Fang Liu</v>
      </c>
      <c r="E31" s="26" t="s">
        <v>66</v>
      </c>
      <c r="F31" s="26" t="s">
        <v>29</v>
      </c>
      <c r="G31" s="26">
        <v>18</v>
      </c>
      <c r="H31" s="26" t="s">
        <v>31</v>
      </c>
      <c r="I31" s="26" t="str">
        <f t="shared" si="1"/>
        <v>Min 18 - Max 28 mph</v>
      </c>
      <c r="J31" s="26">
        <v>25</v>
      </c>
      <c r="K31" s="26" t="s">
        <v>99</v>
      </c>
      <c r="L31" s="26" t="str">
        <f t="shared" si="2"/>
        <v>40233,35 meters</v>
      </c>
      <c r="M31" s="26" t="s">
        <v>43</v>
      </c>
      <c r="N31" s="26" t="s">
        <v>117</v>
      </c>
      <c r="O31" s="26" t="s">
        <v>112</v>
      </c>
      <c r="P31" s="26" t="str">
        <f>IF(Table32[[#This Row],[City]] = " Bengaluru","Asia",IF(Table32[[#This Row],[City]]=" Shanghai", "Asia", "Europe"))</f>
        <v>Asia</v>
      </c>
      <c r="Q31" s="26">
        <v>200001</v>
      </c>
      <c r="R31" s="26" t="s">
        <v>38</v>
      </c>
      <c r="S31" s="26"/>
      <c r="T31" s="28"/>
      <c r="U31" s="29">
        <v>25000</v>
      </c>
      <c r="V31" s="33">
        <f>IF(S31&lt;&gt;"",S31,IF(T31&lt;&gt;"",T31*(0.005462),IF(U31&lt;&gt;"",U31*(0.00952),"")))</f>
        <v>238.00000000000003</v>
      </c>
      <c r="W31" s="37">
        <f t="shared" si="3"/>
        <v>277.03200000000004</v>
      </c>
      <c r="X31" s="26">
        <v>850</v>
      </c>
      <c r="Y31" s="31">
        <v>0</v>
      </c>
      <c r="Z31" s="32">
        <f t="shared" si="4"/>
        <v>0</v>
      </c>
      <c r="AA31" s="38">
        <f t="shared" si="5"/>
        <v>235477.20000000004</v>
      </c>
    </row>
    <row r="32" spans="1:27">
      <c r="A32" s="25">
        <v>31</v>
      </c>
      <c r="B32" s="26" t="s">
        <v>45</v>
      </c>
      <c r="C32" s="26" t="s">
        <v>46</v>
      </c>
      <c r="D32" s="26" t="str">
        <f t="shared" si="0"/>
        <v>Jonas Fischer</v>
      </c>
      <c r="E32" s="26" t="s">
        <v>66</v>
      </c>
      <c r="F32" s="26" t="s">
        <v>16</v>
      </c>
      <c r="G32" s="26">
        <v>15</v>
      </c>
      <c r="H32" s="26" t="s">
        <v>18</v>
      </c>
      <c r="I32" s="26" t="str">
        <f t="shared" si="1"/>
        <v>Min 15 - Max 30 mph</v>
      </c>
      <c r="J32" s="26">
        <v>30</v>
      </c>
      <c r="K32" s="26" t="s">
        <v>99</v>
      </c>
      <c r="L32" s="26" t="str">
        <f t="shared" si="2"/>
        <v>48280,02 meters</v>
      </c>
      <c r="M32" s="26" t="s">
        <v>48</v>
      </c>
      <c r="N32" s="26" t="s">
        <v>124</v>
      </c>
      <c r="O32" s="26" t="s">
        <v>125</v>
      </c>
      <c r="P32" s="26" t="str">
        <f>IF(Table32[[#This Row],[City]] = " Bengaluru","Asia",IF(Table32[[#This Row],[City]]=" Shanghai", "Asia", "Europe"))</f>
        <v>Europe</v>
      </c>
      <c r="Q32" s="26">
        <v>20095</v>
      </c>
      <c r="R32" s="26" t="s">
        <v>49</v>
      </c>
      <c r="S32" s="26"/>
      <c r="T32" s="28"/>
      <c r="U32" s="29">
        <v>22000</v>
      </c>
      <c r="V32" s="33">
        <f>IF(S32&lt;&gt;"",S32,IF(T32&lt;&gt;"",T32*(0.005462),IF(U32&lt;&gt;"",U32*(0.00952),"")))</f>
        <v>209.44000000000003</v>
      </c>
      <c r="W32" s="37">
        <f t="shared" si="3"/>
        <v>243.78816</v>
      </c>
      <c r="X32" s="26">
        <v>130</v>
      </c>
      <c r="Y32" s="31">
        <v>0</v>
      </c>
      <c r="Z32" s="32">
        <f t="shared" si="4"/>
        <v>0</v>
      </c>
      <c r="AA32" s="38">
        <f t="shared" si="5"/>
        <v>31692.460800000001</v>
      </c>
    </row>
    <row r="33" spans="1:27">
      <c r="A33" s="25">
        <v>32</v>
      </c>
      <c r="B33" s="26" t="s">
        <v>45</v>
      </c>
      <c r="C33" s="26" t="s">
        <v>46</v>
      </c>
      <c r="D33" s="26" t="str">
        <f t="shared" si="0"/>
        <v>Jonas Fischer</v>
      </c>
      <c r="E33" s="26" t="s">
        <v>66</v>
      </c>
      <c r="F33" s="26" t="s">
        <v>23</v>
      </c>
      <c r="G33" s="26">
        <v>20</v>
      </c>
      <c r="H33" s="26" t="s">
        <v>25</v>
      </c>
      <c r="I33" s="26" t="str">
        <f t="shared" si="1"/>
        <v>Min 20 - Max 35 mph</v>
      </c>
      <c r="J33" s="26">
        <v>40</v>
      </c>
      <c r="K33" s="26" t="s">
        <v>99</v>
      </c>
      <c r="L33" s="26" t="str">
        <f t="shared" si="2"/>
        <v>64373,36 meters</v>
      </c>
      <c r="M33" s="26" t="s">
        <v>51</v>
      </c>
      <c r="N33" s="26" t="s">
        <v>127</v>
      </c>
      <c r="O33" s="26" t="s">
        <v>125</v>
      </c>
      <c r="P33" s="26" t="str">
        <f>IF(Table32[[#This Row],[City]] = " Bengaluru","Asia",IF(Table32[[#This Row],[City]]=" Shanghai", "Asia", "Europe"))</f>
        <v>Europe</v>
      </c>
      <c r="Q33" s="26">
        <v>20095</v>
      </c>
      <c r="R33" s="26" t="s">
        <v>49</v>
      </c>
      <c r="S33" s="26"/>
      <c r="T33" s="28">
        <v>5000</v>
      </c>
      <c r="U33" s="26"/>
      <c r="V33" s="33">
        <f>IF(S33&lt;&gt;"",S33,IF(T33&lt;&gt;"",T33*(0.005462),IF(U33&lt;&gt;"",U33*(0.00952),"")))</f>
        <v>27.31</v>
      </c>
      <c r="W33" s="37">
        <f t="shared" si="3"/>
        <v>31.788839999999997</v>
      </c>
      <c r="X33" s="26">
        <v>220</v>
      </c>
      <c r="Y33" s="31">
        <v>0</v>
      </c>
      <c r="Z33" s="32">
        <f t="shared" si="4"/>
        <v>0</v>
      </c>
      <c r="AA33" s="38">
        <f t="shared" si="5"/>
        <v>6993.5447999999997</v>
      </c>
    </row>
    <row r="34" spans="1:27">
      <c r="A34" s="25">
        <v>33</v>
      </c>
      <c r="B34" s="26" t="s">
        <v>45</v>
      </c>
      <c r="C34" s="26" t="s">
        <v>46</v>
      </c>
      <c r="D34" s="26" t="str">
        <f t="shared" ref="D34:D65" si="6">B34 &amp; " " &amp; C34</f>
        <v>Jonas Fischer</v>
      </c>
      <c r="E34" s="26" t="s">
        <v>66</v>
      </c>
      <c r="F34" s="26" t="s">
        <v>29</v>
      </c>
      <c r="G34" s="26">
        <v>18</v>
      </c>
      <c r="H34" s="26" t="s">
        <v>31</v>
      </c>
      <c r="I34" s="26" t="str">
        <f t="shared" ref="I34:I65" si="7">"Min " &amp; G34 &amp; " - Max " &amp; H34</f>
        <v>Min 18 - Max 28 mph</v>
      </c>
      <c r="J34" s="26">
        <v>25</v>
      </c>
      <c r="K34" s="26" t="s">
        <v>99</v>
      </c>
      <c r="L34" s="26" t="str">
        <f t="shared" ref="L34:L65" si="8">IF(K34 = "miles", J34*1609.334,J34) &amp; " meters"</f>
        <v>40233,35 meters</v>
      </c>
      <c r="M34" s="26" t="s">
        <v>53</v>
      </c>
      <c r="N34" s="26" t="s">
        <v>128</v>
      </c>
      <c r="O34" s="26" t="s">
        <v>125</v>
      </c>
      <c r="P34" s="26" t="str">
        <f>IF(Table32[[#This Row],[City]] = " Bengaluru","Asia",IF(Table32[[#This Row],[City]]=" Shanghai", "Asia", "Europe"))</f>
        <v>Europe</v>
      </c>
      <c r="Q34" s="26">
        <v>20095</v>
      </c>
      <c r="R34" s="26" t="s">
        <v>49</v>
      </c>
      <c r="S34" s="26"/>
      <c r="T34" s="28">
        <v>3500</v>
      </c>
      <c r="U34" s="26"/>
      <c r="V34" s="33">
        <f>IF(S34&lt;&gt;"",S34,IF(T34&lt;&gt;"",T34*(0.005462),IF(U34&lt;&gt;"",U34*(0.00952),"")))</f>
        <v>19.117000000000001</v>
      </c>
      <c r="W34" s="37">
        <f t="shared" ref="W34:W65" si="9">V34*1.164</f>
        <v>22.252188</v>
      </c>
      <c r="X34" s="26">
        <v>160</v>
      </c>
      <c r="Y34" s="31">
        <v>0</v>
      </c>
      <c r="Z34" s="32">
        <f t="shared" si="4"/>
        <v>0</v>
      </c>
      <c r="AA34" s="38">
        <f t="shared" si="5"/>
        <v>3560.3500800000002</v>
      </c>
    </row>
    <row r="35" spans="1:27">
      <c r="A35" s="25">
        <v>34</v>
      </c>
      <c r="B35" s="26" t="s">
        <v>55</v>
      </c>
      <c r="C35" s="26" t="s">
        <v>56</v>
      </c>
      <c r="D35" s="26" t="str">
        <f t="shared" si="6"/>
        <v>Théo Bernard</v>
      </c>
      <c r="E35" s="26" t="s">
        <v>66</v>
      </c>
      <c r="F35" s="26" t="s">
        <v>16</v>
      </c>
      <c r="G35" s="26">
        <v>15</v>
      </c>
      <c r="H35" s="26" t="s">
        <v>18</v>
      </c>
      <c r="I35" s="26" t="str">
        <f t="shared" si="7"/>
        <v>Min 15 - Max 30 mph</v>
      </c>
      <c r="J35" s="26">
        <v>48.28</v>
      </c>
      <c r="K35" s="26" t="s">
        <v>115</v>
      </c>
      <c r="L35" s="26" t="str">
        <f t="shared" si="8"/>
        <v>48,28 meters</v>
      </c>
      <c r="M35" s="26" t="s">
        <v>57</v>
      </c>
      <c r="N35" s="26" t="s">
        <v>130</v>
      </c>
      <c r="O35" s="26" t="s">
        <v>131</v>
      </c>
      <c r="P35" s="26" t="str">
        <f>IF(Table32[[#This Row],[City]] = " Bengaluru","Asia",IF(Table32[[#This Row],[City]]=" Shanghai", "Asia", "Europe"))</f>
        <v>Europe</v>
      </c>
      <c r="Q35" s="26">
        <v>75005</v>
      </c>
      <c r="R35" s="26" t="s">
        <v>58</v>
      </c>
      <c r="S35" s="26"/>
      <c r="T35" s="28">
        <v>4200</v>
      </c>
      <c r="U35" s="26"/>
      <c r="V35" s="33">
        <f>IF(S35&lt;&gt;"",S35,IF(T35&lt;&gt;"",T35*(0.005462),IF(U35&lt;&gt;"",U35*(0.00952),"")))</f>
        <v>22.9404</v>
      </c>
      <c r="W35" s="37">
        <f t="shared" si="9"/>
        <v>26.702625599999998</v>
      </c>
      <c r="X35" s="26">
        <v>110</v>
      </c>
      <c r="Y35" s="31">
        <v>0</v>
      </c>
      <c r="Z35" s="32">
        <f t="shared" si="4"/>
        <v>0</v>
      </c>
      <c r="AA35" s="38">
        <f t="shared" si="5"/>
        <v>2937.2888159999998</v>
      </c>
    </row>
    <row r="36" spans="1:27">
      <c r="A36" s="25">
        <v>35</v>
      </c>
      <c r="B36" s="26" t="s">
        <v>55</v>
      </c>
      <c r="C36" s="26" t="s">
        <v>56</v>
      </c>
      <c r="D36" s="26" t="str">
        <f t="shared" si="6"/>
        <v>Théo Bernard</v>
      </c>
      <c r="E36" s="26" t="s">
        <v>66</v>
      </c>
      <c r="F36" s="26" t="s">
        <v>23</v>
      </c>
      <c r="G36" s="26">
        <v>20</v>
      </c>
      <c r="H36" s="26" t="s">
        <v>25</v>
      </c>
      <c r="I36" s="26" t="str">
        <f t="shared" si="7"/>
        <v>Min 20 - Max 35 mph</v>
      </c>
      <c r="J36" s="26">
        <v>40</v>
      </c>
      <c r="K36" s="26" t="s">
        <v>99</v>
      </c>
      <c r="L36" s="26" t="str">
        <f t="shared" si="8"/>
        <v>64373,36 meters</v>
      </c>
      <c r="M36" s="26" t="s">
        <v>61</v>
      </c>
      <c r="N36" s="26" t="s">
        <v>132</v>
      </c>
      <c r="O36" s="26" t="s">
        <v>131</v>
      </c>
      <c r="P36" s="26" t="str">
        <f>IF(Table32[[#This Row],[City]] = " Bengaluru","Asia",IF(Table32[[#This Row],[City]]=" Shanghai", "Asia", "Europe"))</f>
        <v>Europe</v>
      </c>
      <c r="Q36" s="26">
        <v>75005</v>
      </c>
      <c r="R36" s="26" t="s">
        <v>58</v>
      </c>
      <c r="S36" s="26"/>
      <c r="T36" s="28">
        <v>4200</v>
      </c>
      <c r="U36" s="26"/>
      <c r="V36" s="33">
        <f>IF(S36&lt;&gt;"",S36,IF(T36&lt;&gt;"",T36*(0.005462),IF(U36&lt;&gt;"",U36*(0.00952),"")))</f>
        <v>22.9404</v>
      </c>
      <c r="W36" s="37">
        <f t="shared" si="9"/>
        <v>26.702625599999998</v>
      </c>
      <c r="X36" s="26">
        <v>260</v>
      </c>
      <c r="Y36" s="31">
        <v>0</v>
      </c>
      <c r="Z36" s="32">
        <f t="shared" si="4"/>
        <v>0</v>
      </c>
      <c r="AA36" s="38">
        <f t="shared" si="5"/>
        <v>6942.682655999999</v>
      </c>
    </row>
    <row r="37" spans="1:27">
      <c r="A37" s="25">
        <v>36</v>
      </c>
      <c r="B37" s="26" t="s">
        <v>55</v>
      </c>
      <c r="C37" s="26" t="s">
        <v>56</v>
      </c>
      <c r="D37" s="26" t="str">
        <f t="shared" si="6"/>
        <v>Théo Bernard</v>
      </c>
      <c r="E37" s="26" t="s">
        <v>66</v>
      </c>
      <c r="F37" s="26" t="s">
        <v>29</v>
      </c>
      <c r="G37" s="26">
        <v>18</v>
      </c>
      <c r="H37" s="26" t="s">
        <v>31</v>
      </c>
      <c r="I37" s="26" t="str">
        <f t="shared" si="7"/>
        <v>Min 18 - Max 28 mph</v>
      </c>
      <c r="J37" s="26">
        <v>25</v>
      </c>
      <c r="K37" s="26" t="s">
        <v>99</v>
      </c>
      <c r="L37" s="26" t="str">
        <f t="shared" si="8"/>
        <v>40233,35 meters</v>
      </c>
      <c r="M37" s="26" t="s">
        <v>63</v>
      </c>
      <c r="N37" s="26" t="s">
        <v>133</v>
      </c>
      <c r="O37" s="26" t="s">
        <v>131</v>
      </c>
      <c r="P37" s="26" t="str">
        <f>IF(Table32[[#This Row],[City]] = " Bengaluru","Asia",IF(Table32[[#This Row],[City]]=" Shanghai", "Asia", "Europe"))</f>
        <v>Europe</v>
      </c>
      <c r="Q37" s="26">
        <v>75005</v>
      </c>
      <c r="R37" s="26" t="s">
        <v>58</v>
      </c>
      <c r="S37" s="26">
        <v>1000</v>
      </c>
      <c r="T37" s="28"/>
      <c r="U37" s="26"/>
      <c r="V37" s="33">
        <f>IF(S37&lt;&gt;"",S37,IF(T37&lt;&gt;"",T37*(0.005462),IF(U37&lt;&gt;"",U37*(0.00952),"")))</f>
        <v>1000</v>
      </c>
      <c r="W37" s="37">
        <f t="shared" si="9"/>
        <v>1164</v>
      </c>
      <c r="X37" s="26">
        <v>200</v>
      </c>
      <c r="Y37" s="31">
        <v>0</v>
      </c>
      <c r="Z37" s="32">
        <f t="shared" si="4"/>
        <v>0</v>
      </c>
      <c r="AA37" s="38">
        <f t="shared" si="5"/>
        <v>232800</v>
      </c>
    </row>
    <row r="38" spans="1:27">
      <c r="A38" s="25">
        <v>37</v>
      </c>
      <c r="B38" s="26" t="s">
        <v>13</v>
      </c>
      <c r="C38" s="26" t="s">
        <v>14</v>
      </c>
      <c r="D38" s="26" t="str">
        <f t="shared" si="6"/>
        <v>Sanya Joshi</v>
      </c>
      <c r="E38" s="26" t="s">
        <v>67</v>
      </c>
      <c r="F38" s="26" t="s">
        <v>16</v>
      </c>
      <c r="G38" s="26">
        <v>15</v>
      </c>
      <c r="H38" s="26" t="s">
        <v>18</v>
      </c>
      <c r="I38" s="26" t="str">
        <f t="shared" si="7"/>
        <v>Min 15 - Max 30 mph</v>
      </c>
      <c r="J38" s="26">
        <v>30</v>
      </c>
      <c r="K38" s="26" t="s">
        <v>99</v>
      </c>
      <c r="L38" s="26" t="str">
        <f t="shared" si="8"/>
        <v>48280,02 meters</v>
      </c>
      <c r="M38" s="26" t="s">
        <v>20</v>
      </c>
      <c r="N38" s="26" t="s">
        <v>101</v>
      </c>
      <c r="O38" s="26" t="s">
        <v>102</v>
      </c>
      <c r="P38" s="26" t="str">
        <f>IF(Table32[[#This Row],[City]] = " Bengaluru","Asia",IF(Table32[[#This Row],[City]]=" Shanghai", "Asia", "Europe"))</f>
        <v>Asia</v>
      </c>
      <c r="Q38" s="26">
        <v>560001</v>
      </c>
      <c r="R38" s="26" t="s">
        <v>21</v>
      </c>
      <c r="S38" s="26">
        <v>800</v>
      </c>
      <c r="T38" s="28"/>
      <c r="U38" s="26"/>
      <c r="V38" s="33">
        <f>IF(S38&lt;&gt;"",S38,IF(T38&lt;&gt;"",T38*(0.005462),IF(U38&lt;&gt;"",U38*(0.00952),"")))</f>
        <v>800</v>
      </c>
      <c r="W38" s="37">
        <f t="shared" si="9"/>
        <v>931.19999999999993</v>
      </c>
      <c r="X38" s="26">
        <v>200</v>
      </c>
      <c r="Y38" s="31">
        <v>0</v>
      </c>
      <c r="Z38" s="32">
        <f t="shared" si="4"/>
        <v>0</v>
      </c>
      <c r="AA38" s="38">
        <f t="shared" si="5"/>
        <v>186240</v>
      </c>
    </row>
    <row r="39" spans="1:27">
      <c r="A39" s="25">
        <v>38</v>
      </c>
      <c r="B39" s="26" t="s">
        <v>13</v>
      </c>
      <c r="C39" s="26" t="s">
        <v>14</v>
      </c>
      <c r="D39" s="26" t="str">
        <f t="shared" si="6"/>
        <v>Sanya Joshi</v>
      </c>
      <c r="E39" s="26" t="s">
        <v>67</v>
      </c>
      <c r="F39" s="26" t="s">
        <v>23</v>
      </c>
      <c r="G39" s="26">
        <v>20</v>
      </c>
      <c r="H39" s="26" t="s">
        <v>25</v>
      </c>
      <c r="I39" s="26" t="str">
        <f t="shared" si="7"/>
        <v>Min 20 - Max 35 mph</v>
      </c>
      <c r="J39" s="26">
        <v>40</v>
      </c>
      <c r="K39" s="26" t="s">
        <v>99</v>
      </c>
      <c r="L39" s="26" t="str">
        <f t="shared" si="8"/>
        <v>64373,36 meters</v>
      </c>
      <c r="M39" s="26" t="s">
        <v>27</v>
      </c>
      <c r="N39" s="26" t="s">
        <v>106</v>
      </c>
      <c r="O39" s="26" t="s">
        <v>102</v>
      </c>
      <c r="P39" s="26" t="str">
        <f>IF(Table32[[#This Row],[City]] = " Bengaluru","Asia",IF(Table32[[#This Row],[City]]=" Shanghai", "Asia", "Europe"))</f>
        <v>Asia</v>
      </c>
      <c r="Q39" s="26">
        <v>560001</v>
      </c>
      <c r="R39" s="26" t="s">
        <v>21</v>
      </c>
      <c r="S39" s="26">
        <v>950</v>
      </c>
      <c r="T39" s="28"/>
      <c r="U39" s="26"/>
      <c r="V39" s="33">
        <f>IF(S39&lt;&gt;"",S39,IF(T39&lt;&gt;"",T39*(0.005462),IF(U39&lt;&gt;"",U39*(0.00952),"")))</f>
        <v>950</v>
      </c>
      <c r="W39" s="37">
        <f t="shared" si="9"/>
        <v>1105.8</v>
      </c>
      <c r="X39" s="26">
        <v>450</v>
      </c>
      <c r="Y39" s="31">
        <v>0</v>
      </c>
      <c r="Z39" s="32">
        <f t="shared" si="4"/>
        <v>0</v>
      </c>
      <c r="AA39" s="38">
        <f t="shared" si="5"/>
        <v>497610</v>
      </c>
    </row>
    <row r="40" spans="1:27">
      <c r="A40" s="25">
        <v>39</v>
      </c>
      <c r="B40" s="26" t="s">
        <v>13</v>
      </c>
      <c r="C40" s="26" t="s">
        <v>14</v>
      </c>
      <c r="D40" s="26" t="str">
        <f t="shared" si="6"/>
        <v>Sanya Joshi</v>
      </c>
      <c r="E40" s="26" t="s">
        <v>67</v>
      </c>
      <c r="F40" s="26" t="s">
        <v>29</v>
      </c>
      <c r="G40" s="26">
        <v>18</v>
      </c>
      <c r="H40" s="26" t="s">
        <v>31</v>
      </c>
      <c r="I40" s="26" t="str">
        <f t="shared" si="7"/>
        <v>Min 18 - Max 28 mph</v>
      </c>
      <c r="J40" s="26">
        <v>25</v>
      </c>
      <c r="K40" s="26" t="s">
        <v>99</v>
      </c>
      <c r="L40" s="26" t="str">
        <f t="shared" si="8"/>
        <v>40233,35 meters</v>
      </c>
      <c r="M40" s="26" t="s">
        <v>33</v>
      </c>
      <c r="N40" s="26" t="s">
        <v>109</v>
      </c>
      <c r="O40" s="26" t="s">
        <v>102</v>
      </c>
      <c r="P40" s="26" t="str">
        <f>IF(Table32[[#This Row],[City]] = " Bengaluru","Asia",IF(Table32[[#This Row],[City]]=" Shanghai", "Asia", "Europe"))</f>
        <v>Asia</v>
      </c>
      <c r="Q40" s="26">
        <v>560001</v>
      </c>
      <c r="R40" s="26" t="s">
        <v>21</v>
      </c>
      <c r="S40" s="26">
        <v>1100</v>
      </c>
      <c r="T40" s="28"/>
      <c r="U40" s="26"/>
      <c r="V40" s="33">
        <f>IF(S40&lt;&gt;"",S40,IF(T40&lt;&gt;"",T40*(0.005462),IF(U40&lt;&gt;"",U40*(0.00952),"")))</f>
        <v>1100</v>
      </c>
      <c r="W40" s="37">
        <f t="shared" si="9"/>
        <v>1280.3999999999999</v>
      </c>
      <c r="X40" s="26">
        <v>300</v>
      </c>
      <c r="Y40" s="31">
        <v>0</v>
      </c>
      <c r="Z40" s="32">
        <f t="shared" si="4"/>
        <v>0</v>
      </c>
      <c r="AA40" s="38">
        <f t="shared" si="5"/>
        <v>384119.99999999994</v>
      </c>
    </row>
    <row r="41" spans="1:27">
      <c r="A41" s="25">
        <v>40</v>
      </c>
      <c r="B41" s="26" t="s">
        <v>35</v>
      </c>
      <c r="C41" s="26" t="s">
        <v>36</v>
      </c>
      <c r="D41" s="26" t="str">
        <f t="shared" si="6"/>
        <v>Fang Liu</v>
      </c>
      <c r="E41" s="26" t="s">
        <v>67</v>
      </c>
      <c r="F41" s="26" t="s">
        <v>16</v>
      </c>
      <c r="G41" s="26">
        <v>17.515000000000001</v>
      </c>
      <c r="H41" s="26" t="s">
        <v>18</v>
      </c>
      <c r="I41" s="26" t="str">
        <f t="shared" si="7"/>
        <v>Min 17,515 - Max 30 mph</v>
      </c>
      <c r="J41" s="26">
        <v>30</v>
      </c>
      <c r="K41" s="26" t="s">
        <v>99</v>
      </c>
      <c r="L41" s="26" t="str">
        <f t="shared" si="8"/>
        <v>48280,02 meters</v>
      </c>
      <c r="M41" s="26" t="s">
        <v>37</v>
      </c>
      <c r="N41" s="26" t="s">
        <v>111</v>
      </c>
      <c r="O41" s="26" t="s">
        <v>112</v>
      </c>
      <c r="P41" s="26" t="str">
        <f>IF(Table32[[#This Row],[City]] = " Bengaluru","Asia",IF(Table32[[#This Row],[City]]=" Shanghai", "Asia", "Europe"))</f>
        <v>Asia</v>
      </c>
      <c r="Q41" s="26">
        <v>200001</v>
      </c>
      <c r="R41" s="26" t="s">
        <v>38</v>
      </c>
      <c r="S41" s="26">
        <v>900</v>
      </c>
      <c r="T41" s="28"/>
      <c r="U41" s="26"/>
      <c r="V41" s="33">
        <f>IF(S41&lt;&gt;"",S41,IF(T41&lt;&gt;"",T41*(0.005462),IF(U41&lt;&gt;"",U41*(0.00952),"")))</f>
        <v>900</v>
      </c>
      <c r="W41" s="37">
        <f t="shared" si="9"/>
        <v>1047.5999999999999</v>
      </c>
      <c r="X41" s="26">
        <v>700</v>
      </c>
      <c r="Y41" s="31">
        <v>0</v>
      </c>
      <c r="Z41" s="32">
        <f t="shared" si="4"/>
        <v>0</v>
      </c>
      <c r="AA41" s="38">
        <f t="shared" si="5"/>
        <v>733319.99999999988</v>
      </c>
    </row>
    <row r="42" spans="1:27">
      <c r="A42" s="25">
        <v>41</v>
      </c>
      <c r="B42" s="26" t="s">
        <v>35</v>
      </c>
      <c r="C42" s="26" t="s">
        <v>36</v>
      </c>
      <c r="D42" s="26" t="str">
        <f t="shared" si="6"/>
        <v>Fang Liu</v>
      </c>
      <c r="E42" s="26" t="s">
        <v>67</v>
      </c>
      <c r="F42" s="26" t="s">
        <v>23</v>
      </c>
      <c r="G42" s="26">
        <v>20</v>
      </c>
      <c r="H42" s="26" t="s">
        <v>25</v>
      </c>
      <c r="I42" s="26" t="str">
        <f t="shared" si="7"/>
        <v>Min 20 - Max 35 mph</v>
      </c>
      <c r="J42" s="26">
        <v>40</v>
      </c>
      <c r="K42" s="26" t="s">
        <v>99</v>
      </c>
      <c r="L42" s="26" t="str">
        <f t="shared" si="8"/>
        <v>64373,36 meters</v>
      </c>
      <c r="M42" s="26" t="s">
        <v>40</v>
      </c>
      <c r="N42" s="26" t="s">
        <v>113</v>
      </c>
      <c r="O42" s="26" t="s">
        <v>112</v>
      </c>
      <c r="P42" s="26" t="str">
        <f>IF(Table32[[#This Row],[City]] = " Bengaluru","Asia",IF(Table32[[#This Row],[City]]=" Shanghai", "Asia", "Europe"))</f>
        <v>Asia</v>
      </c>
      <c r="Q42" s="26">
        <v>200001</v>
      </c>
      <c r="R42" s="26" t="s">
        <v>38</v>
      </c>
      <c r="S42" s="26">
        <v>1050</v>
      </c>
      <c r="T42" s="28"/>
      <c r="U42" s="26"/>
      <c r="V42" s="33">
        <f>IF(S42&lt;&gt;"",S42,IF(T42&lt;&gt;"",T42*(0.005462),IF(U42&lt;&gt;"",U42*(0.00952),"")))</f>
        <v>1050</v>
      </c>
      <c r="W42" s="37">
        <f t="shared" si="9"/>
        <v>1222.1999999999998</v>
      </c>
      <c r="X42" s="26">
        <v>1600</v>
      </c>
      <c r="Y42" s="31">
        <v>0</v>
      </c>
      <c r="Z42" s="32">
        <f t="shared" si="4"/>
        <v>0</v>
      </c>
      <c r="AA42" s="38">
        <f t="shared" si="5"/>
        <v>1955519.9999999998</v>
      </c>
    </row>
    <row r="43" spans="1:27">
      <c r="A43" s="25">
        <v>42</v>
      </c>
      <c r="B43" s="26" t="s">
        <v>35</v>
      </c>
      <c r="C43" s="26" t="s">
        <v>36</v>
      </c>
      <c r="D43" s="26" t="str">
        <f t="shared" si="6"/>
        <v>Fang Liu</v>
      </c>
      <c r="E43" s="26" t="s">
        <v>67</v>
      </c>
      <c r="F43" s="26" t="s">
        <v>29</v>
      </c>
      <c r="G43" s="26">
        <v>18</v>
      </c>
      <c r="H43" s="26" t="s">
        <v>31</v>
      </c>
      <c r="I43" s="26" t="str">
        <f t="shared" si="7"/>
        <v>Min 18 - Max 28 mph</v>
      </c>
      <c r="J43" s="26">
        <v>25</v>
      </c>
      <c r="K43" s="26" t="s">
        <v>99</v>
      </c>
      <c r="L43" s="26" t="str">
        <f t="shared" si="8"/>
        <v>40233,35 meters</v>
      </c>
      <c r="M43" s="26" t="s">
        <v>43</v>
      </c>
      <c r="N43" s="26" t="s">
        <v>117</v>
      </c>
      <c r="O43" s="26" t="s">
        <v>112</v>
      </c>
      <c r="P43" s="26" t="str">
        <f>IF(Table32[[#This Row],[City]] = " Bengaluru","Asia",IF(Table32[[#This Row],[City]]=" Shanghai", "Asia", "Europe"))</f>
        <v>Asia</v>
      </c>
      <c r="Q43" s="26">
        <v>200001</v>
      </c>
      <c r="R43" s="26" t="s">
        <v>38</v>
      </c>
      <c r="S43" s="26"/>
      <c r="T43" s="28"/>
      <c r="U43" s="29">
        <v>30000</v>
      </c>
      <c r="V43" s="33">
        <f>IF(S43&lt;&gt;"",S43,IF(T43&lt;&gt;"",T43*(0.005462),IF(U43&lt;&gt;"",U43*(0.00952),"")))</f>
        <v>285.60000000000002</v>
      </c>
      <c r="W43" s="37">
        <f t="shared" si="9"/>
        <v>332.4384</v>
      </c>
      <c r="X43" s="26">
        <v>1000</v>
      </c>
      <c r="Y43" s="31">
        <v>0</v>
      </c>
      <c r="Z43" s="32">
        <f t="shared" si="4"/>
        <v>0</v>
      </c>
      <c r="AA43" s="38">
        <f t="shared" si="5"/>
        <v>332438.40000000002</v>
      </c>
    </row>
    <row r="44" spans="1:27">
      <c r="A44" s="25">
        <v>43</v>
      </c>
      <c r="B44" s="26" t="s">
        <v>45</v>
      </c>
      <c r="C44" s="26" t="s">
        <v>46</v>
      </c>
      <c r="D44" s="26" t="str">
        <f t="shared" si="6"/>
        <v>Jonas Fischer</v>
      </c>
      <c r="E44" s="26" t="s">
        <v>67</v>
      </c>
      <c r="F44" s="26" t="s">
        <v>16</v>
      </c>
      <c r="G44" s="26">
        <v>15</v>
      </c>
      <c r="H44" s="26" t="s">
        <v>18</v>
      </c>
      <c r="I44" s="26" t="str">
        <f t="shared" si="7"/>
        <v>Min 15 - Max 30 mph</v>
      </c>
      <c r="J44" s="26">
        <v>48.28</v>
      </c>
      <c r="K44" s="26" t="s">
        <v>115</v>
      </c>
      <c r="L44" s="26" t="str">
        <f t="shared" si="8"/>
        <v>48,28 meters</v>
      </c>
      <c r="M44" s="26" t="s">
        <v>48</v>
      </c>
      <c r="N44" s="26" t="s">
        <v>124</v>
      </c>
      <c r="O44" s="26" t="s">
        <v>125</v>
      </c>
      <c r="P44" s="26" t="str">
        <f>IF(Table32[[#This Row],[City]] = " Bengaluru","Asia",IF(Table32[[#This Row],[City]]=" Shanghai", "Asia", "Europe"))</f>
        <v>Europe</v>
      </c>
      <c r="Q44" s="26">
        <v>20095</v>
      </c>
      <c r="R44" s="26" t="s">
        <v>49</v>
      </c>
      <c r="S44" s="26"/>
      <c r="T44" s="28"/>
      <c r="U44" s="29">
        <v>25000</v>
      </c>
      <c r="V44" s="33">
        <f>IF(S44&lt;&gt;"",S44,IF(T44&lt;&gt;"",T44*(0.005462),IF(U44&lt;&gt;"",U44*(0.00952),"")))</f>
        <v>238.00000000000003</v>
      </c>
      <c r="W44" s="37">
        <f t="shared" si="9"/>
        <v>277.03200000000004</v>
      </c>
      <c r="X44" s="26">
        <v>160</v>
      </c>
      <c r="Y44" s="31">
        <v>0</v>
      </c>
      <c r="Z44" s="32">
        <f t="shared" si="4"/>
        <v>0</v>
      </c>
      <c r="AA44" s="38">
        <f t="shared" si="5"/>
        <v>44325.12000000001</v>
      </c>
    </row>
    <row r="45" spans="1:27">
      <c r="A45" s="25">
        <v>44</v>
      </c>
      <c r="B45" s="26" t="s">
        <v>45</v>
      </c>
      <c r="C45" s="26" t="s">
        <v>46</v>
      </c>
      <c r="D45" s="26" t="str">
        <f t="shared" si="6"/>
        <v>Jonas Fischer</v>
      </c>
      <c r="E45" s="26" t="s">
        <v>67</v>
      </c>
      <c r="F45" s="26" t="s">
        <v>23</v>
      </c>
      <c r="G45" s="26">
        <v>20</v>
      </c>
      <c r="H45" s="26" t="s">
        <v>25</v>
      </c>
      <c r="I45" s="26" t="str">
        <f t="shared" si="7"/>
        <v>Min 20 - Max 35 mph</v>
      </c>
      <c r="J45" s="26">
        <v>40</v>
      </c>
      <c r="K45" s="26" t="s">
        <v>99</v>
      </c>
      <c r="L45" s="26" t="str">
        <f t="shared" si="8"/>
        <v>64373,36 meters</v>
      </c>
      <c r="M45" s="26" t="s">
        <v>51</v>
      </c>
      <c r="N45" s="26" t="s">
        <v>127</v>
      </c>
      <c r="O45" s="26" t="s">
        <v>125</v>
      </c>
      <c r="P45" s="26" t="str">
        <f>IF(Table32[[#This Row],[City]] = " Bengaluru","Asia",IF(Table32[[#This Row],[City]]=" Shanghai", "Asia", "Europe"))</f>
        <v>Europe</v>
      </c>
      <c r="Q45" s="26">
        <v>20095</v>
      </c>
      <c r="R45" s="26" t="s">
        <v>49</v>
      </c>
      <c r="S45" s="26"/>
      <c r="T45" s="28"/>
      <c r="U45" s="29">
        <v>22000</v>
      </c>
      <c r="V45" s="33">
        <f>IF(S45&lt;&gt;"",S45,IF(T45&lt;&gt;"",T45*(0.005462),IF(U45&lt;&gt;"",U45*(0.00952),"")))</f>
        <v>209.44000000000003</v>
      </c>
      <c r="W45" s="37">
        <f t="shared" si="9"/>
        <v>243.78816</v>
      </c>
      <c r="X45" s="26">
        <v>280</v>
      </c>
      <c r="Y45" s="31">
        <v>0</v>
      </c>
      <c r="Z45" s="32">
        <f t="shared" si="4"/>
        <v>0</v>
      </c>
      <c r="AA45" s="38">
        <f t="shared" si="5"/>
        <v>68260.684800000003</v>
      </c>
    </row>
    <row r="46" spans="1:27">
      <c r="A46" s="25">
        <v>45</v>
      </c>
      <c r="B46" s="26" t="s">
        <v>45</v>
      </c>
      <c r="C46" s="26" t="s">
        <v>46</v>
      </c>
      <c r="D46" s="26" t="str">
        <f t="shared" si="6"/>
        <v>Jonas Fischer</v>
      </c>
      <c r="E46" s="26" t="s">
        <v>67</v>
      </c>
      <c r="F46" s="26" t="s">
        <v>29</v>
      </c>
      <c r="G46" s="26">
        <v>18</v>
      </c>
      <c r="H46" s="26" t="s">
        <v>31</v>
      </c>
      <c r="I46" s="26" t="str">
        <f t="shared" si="7"/>
        <v>Min 18 - Max 28 mph</v>
      </c>
      <c r="J46" s="26">
        <v>25</v>
      </c>
      <c r="K46" s="26" t="s">
        <v>99</v>
      </c>
      <c r="L46" s="26" t="str">
        <f t="shared" si="8"/>
        <v>40233,35 meters</v>
      </c>
      <c r="M46" s="26" t="s">
        <v>53</v>
      </c>
      <c r="N46" s="26" t="s">
        <v>128</v>
      </c>
      <c r="O46" s="26" t="s">
        <v>125</v>
      </c>
      <c r="P46" s="26" t="str">
        <f>IF(Table32[[#This Row],[City]] = " Bengaluru","Asia",IF(Table32[[#This Row],[City]]=" Shanghai", "Asia", "Europe"))</f>
        <v>Europe</v>
      </c>
      <c r="Q46" s="26">
        <v>20095</v>
      </c>
      <c r="R46" s="26" t="s">
        <v>49</v>
      </c>
      <c r="S46" s="26"/>
      <c r="T46" s="28">
        <v>5000</v>
      </c>
      <c r="U46" s="26"/>
      <c r="V46" s="33">
        <f>IF(S46&lt;&gt;"",S46,IF(T46&lt;&gt;"",T46*(0.005462),IF(U46&lt;&gt;"",U46*(0.00952),"")))</f>
        <v>27.31</v>
      </c>
      <c r="W46" s="37">
        <f t="shared" si="9"/>
        <v>31.788839999999997</v>
      </c>
      <c r="X46" s="26">
        <v>200</v>
      </c>
      <c r="Y46" s="31">
        <v>0</v>
      </c>
      <c r="Z46" s="32">
        <f t="shared" si="4"/>
        <v>0</v>
      </c>
      <c r="AA46" s="38">
        <f t="shared" si="5"/>
        <v>6357.7679999999991</v>
      </c>
    </row>
    <row r="47" spans="1:27">
      <c r="A47" s="25">
        <v>46</v>
      </c>
      <c r="B47" s="26" t="s">
        <v>55</v>
      </c>
      <c r="C47" s="26" t="s">
        <v>56</v>
      </c>
      <c r="D47" s="26" t="str">
        <f t="shared" si="6"/>
        <v>Théo Bernard</v>
      </c>
      <c r="E47" s="26" t="s">
        <v>67</v>
      </c>
      <c r="F47" s="26" t="s">
        <v>16</v>
      </c>
      <c r="G47" s="26">
        <v>15</v>
      </c>
      <c r="H47" s="26" t="s">
        <v>18</v>
      </c>
      <c r="I47" s="26" t="str">
        <f t="shared" si="7"/>
        <v>Min 15 - Max 30 mph</v>
      </c>
      <c r="J47" s="26">
        <v>30</v>
      </c>
      <c r="K47" s="26" t="s">
        <v>99</v>
      </c>
      <c r="L47" s="26" t="str">
        <f t="shared" si="8"/>
        <v>48280,02 meters</v>
      </c>
      <c r="M47" s="26" t="s">
        <v>57</v>
      </c>
      <c r="N47" s="26" t="s">
        <v>130</v>
      </c>
      <c r="O47" s="26" t="s">
        <v>131</v>
      </c>
      <c r="P47" s="26" t="str">
        <f>IF(Table32[[#This Row],[City]] = " Bengaluru","Asia",IF(Table32[[#This Row],[City]]=" Shanghai", "Asia", "Europe"))</f>
        <v>Europe</v>
      </c>
      <c r="Q47" s="26">
        <v>75005</v>
      </c>
      <c r="R47" s="26" t="s">
        <v>58</v>
      </c>
      <c r="S47" s="26"/>
      <c r="T47" s="28">
        <v>3500</v>
      </c>
      <c r="U47" s="26"/>
      <c r="V47" s="33">
        <f>IF(S47&lt;&gt;"",S47,IF(T47&lt;&gt;"",T47*(0.005462),IF(U47&lt;&gt;"",U47*(0.00952),"")))</f>
        <v>19.117000000000001</v>
      </c>
      <c r="W47" s="37">
        <f t="shared" si="9"/>
        <v>22.252188</v>
      </c>
      <c r="X47" s="26">
        <v>130</v>
      </c>
      <c r="Y47" s="31">
        <v>0</v>
      </c>
      <c r="Z47" s="32">
        <f t="shared" si="4"/>
        <v>0</v>
      </c>
      <c r="AA47" s="38">
        <f t="shared" si="5"/>
        <v>2892.7844399999999</v>
      </c>
    </row>
    <row r="48" spans="1:27">
      <c r="A48" s="25">
        <v>47</v>
      </c>
      <c r="B48" s="26" t="s">
        <v>55</v>
      </c>
      <c r="C48" s="26" t="s">
        <v>56</v>
      </c>
      <c r="D48" s="26" t="str">
        <f t="shared" si="6"/>
        <v>Théo Bernard</v>
      </c>
      <c r="E48" s="26" t="s">
        <v>67</v>
      </c>
      <c r="F48" s="26" t="s">
        <v>23</v>
      </c>
      <c r="G48" s="26">
        <v>20</v>
      </c>
      <c r="H48" s="26" t="s">
        <v>25</v>
      </c>
      <c r="I48" s="26" t="str">
        <f t="shared" si="7"/>
        <v>Min 20 - Max 35 mph</v>
      </c>
      <c r="J48" s="26">
        <v>40</v>
      </c>
      <c r="K48" s="26" t="s">
        <v>99</v>
      </c>
      <c r="L48" s="26" t="str">
        <f t="shared" si="8"/>
        <v>64373,36 meters</v>
      </c>
      <c r="M48" s="26" t="s">
        <v>61</v>
      </c>
      <c r="N48" s="26" t="s">
        <v>132</v>
      </c>
      <c r="O48" s="26" t="s">
        <v>131</v>
      </c>
      <c r="P48" s="26" t="str">
        <f>IF(Table32[[#This Row],[City]] = " Bengaluru","Asia",IF(Table32[[#This Row],[City]]=" Shanghai", "Asia", "Europe"))</f>
        <v>Europe</v>
      </c>
      <c r="Q48" s="26">
        <v>75005</v>
      </c>
      <c r="R48" s="26" t="s">
        <v>58</v>
      </c>
      <c r="S48" s="26"/>
      <c r="T48" s="28">
        <v>4200</v>
      </c>
      <c r="U48" s="26"/>
      <c r="V48" s="33">
        <f>IF(S48&lt;&gt;"",S48,IF(T48&lt;&gt;"",T48*(0.005462),IF(U48&lt;&gt;"",U48*(0.00952),"")))</f>
        <v>22.9404</v>
      </c>
      <c r="W48" s="37">
        <f t="shared" si="9"/>
        <v>26.702625599999998</v>
      </c>
      <c r="X48" s="26">
        <v>300</v>
      </c>
      <c r="Y48" s="31">
        <v>0</v>
      </c>
      <c r="Z48" s="32">
        <f t="shared" si="4"/>
        <v>0</v>
      </c>
      <c r="AA48" s="38">
        <f t="shared" si="5"/>
        <v>8010.7876799999995</v>
      </c>
    </row>
    <row r="49" spans="1:27">
      <c r="A49" s="25">
        <v>48</v>
      </c>
      <c r="B49" s="26" t="s">
        <v>55</v>
      </c>
      <c r="C49" s="26" t="s">
        <v>56</v>
      </c>
      <c r="D49" s="26" t="str">
        <f t="shared" si="6"/>
        <v>Théo Bernard</v>
      </c>
      <c r="E49" s="26" t="s">
        <v>67</v>
      </c>
      <c r="F49" s="26" t="s">
        <v>29</v>
      </c>
      <c r="G49" s="26">
        <v>17.515000000000001</v>
      </c>
      <c r="H49" s="26" t="s">
        <v>31</v>
      </c>
      <c r="I49" s="26" t="str">
        <f t="shared" si="7"/>
        <v>Min 17,515 - Max 28 mph</v>
      </c>
      <c r="J49" s="26">
        <v>40.229999999999997</v>
      </c>
      <c r="K49" s="26" t="s">
        <v>115</v>
      </c>
      <c r="L49" s="26" t="str">
        <f t="shared" si="8"/>
        <v>40,23 meters</v>
      </c>
      <c r="M49" s="26" t="s">
        <v>63</v>
      </c>
      <c r="N49" s="26" t="s">
        <v>133</v>
      </c>
      <c r="O49" s="26" t="s">
        <v>131</v>
      </c>
      <c r="P49" s="26" t="str">
        <f>IF(Table32[[#This Row],[City]] = " Bengaluru","Asia",IF(Table32[[#This Row],[City]]=" Shanghai", "Asia", "Europe"))</f>
        <v>Europe</v>
      </c>
      <c r="Q49" s="26">
        <v>75005</v>
      </c>
      <c r="R49" s="26" t="s">
        <v>58</v>
      </c>
      <c r="S49" s="26">
        <v>1000</v>
      </c>
      <c r="T49" s="28"/>
      <c r="U49" s="26"/>
      <c r="V49" s="33">
        <f>IF(S49&lt;&gt;"",S49,IF(T49&lt;&gt;"",T49*(0.005462),IF(U49&lt;&gt;"",U49*(0.00952),"")))</f>
        <v>1000</v>
      </c>
      <c r="W49" s="37">
        <f t="shared" si="9"/>
        <v>1164</v>
      </c>
      <c r="X49" s="26">
        <v>230</v>
      </c>
      <c r="Y49" s="31">
        <v>0</v>
      </c>
      <c r="Z49" s="32">
        <f t="shared" si="4"/>
        <v>0</v>
      </c>
      <c r="AA49" s="38">
        <f t="shared" si="5"/>
        <v>267720</v>
      </c>
    </row>
    <row r="50" spans="1:27">
      <c r="A50" s="25">
        <v>49</v>
      </c>
      <c r="B50" s="26" t="s">
        <v>13</v>
      </c>
      <c r="C50" s="26" t="s">
        <v>14</v>
      </c>
      <c r="D50" s="26" t="str">
        <f t="shared" si="6"/>
        <v>Sanya Joshi</v>
      </c>
      <c r="E50" s="26" t="s">
        <v>68</v>
      </c>
      <c r="F50" s="26" t="s">
        <v>16</v>
      </c>
      <c r="G50" s="26">
        <v>15</v>
      </c>
      <c r="H50" s="26" t="s">
        <v>18</v>
      </c>
      <c r="I50" s="26" t="str">
        <f t="shared" si="7"/>
        <v>Min 15 - Max 30 mph</v>
      </c>
      <c r="J50" s="26">
        <v>30</v>
      </c>
      <c r="K50" s="26" t="s">
        <v>99</v>
      </c>
      <c r="L50" s="26" t="str">
        <f t="shared" si="8"/>
        <v>48280,02 meters</v>
      </c>
      <c r="M50" s="26" t="s">
        <v>20</v>
      </c>
      <c r="N50" s="26" t="s">
        <v>101</v>
      </c>
      <c r="O50" s="26" t="s">
        <v>102</v>
      </c>
      <c r="P50" s="26" t="str">
        <f>IF(Table32[[#This Row],[City]] = " Bengaluru","Asia",IF(Table32[[#This Row],[City]]=" Shanghai", "Asia", "Europe"))</f>
        <v>Asia</v>
      </c>
      <c r="Q50" s="26">
        <v>560001</v>
      </c>
      <c r="R50" s="26" t="s">
        <v>21</v>
      </c>
      <c r="S50" s="26">
        <v>1000</v>
      </c>
      <c r="T50" s="28"/>
      <c r="U50" s="26"/>
      <c r="V50" s="33">
        <f>IF(S50&lt;&gt;"",S50,IF(T50&lt;&gt;"",T50*(0.005462),IF(U50&lt;&gt;"",U50*(0.00952),"")))</f>
        <v>1000</v>
      </c>
      <c r="W50" s="37">
        <f t="shared" si="9"/>
        <v>1164</v>
      </c>
      <c r="X50" s="26">
        <v>200</v>
      </c>
      <c r="Y50" s="31">
        <v>0</v>
      </c>
      <c r="Z50" s="32">
        <f t="shared" si="4"/>
        <v>0</v>
      </c>
      <c r="AA50" s="38">
        <f t="shared" si="5"/>
        <v>232800</v>
      </c>
    </row>
    <row r="51" spans="1:27">
      <c r="A51" s="25">
        <v>50</v>
      </c>
      <c r="B51" s="26" t="s">
        <v>13</v>
      </c>
      <c r="C51" s="26" t="s">
        <v>14</v>
      </c>
      <c r="D51" s="26" t="str">
        <f t="shared" si="6"/>
        <v>Sanya Joshi</v>
      </c>
      <c r="E51" s="26" t="s">
        <v>68</v>
      </c>
      <c r="F51" s="26" t="s">
        <v>23</v>
      </c>
      <c r="G51" s="26">
        <v>20</v>
      </c>
      <c r="H51" s="26" t="s">
        <v>25</v>
      </c>
      <c r="I51" s="26" t="str">
        <f t="shared" si="7"/>
        <v>Min 20 - Max 35 mph</v>
      </c>
      <c r="J51" s="26">
        <v>40</v>
      </c>
      <c r="K51" s="26" t="s">
        <v>99</v>
      </c>
      <c r="L51" s="26" t="str">
        <f t="shared" si="8"/>
        <v>64373,36 meters</v>
      </c>
      <c r="M51" s="26" t="s">
        <v>27</v>
      </c>
      <c r="N51" s="26" t="s">
        <v>106</v>
      </c>
      <c r="O51" s="26" t="s">
        <v>102</v>
      </c>
      <c r="P51" s="26" t="str">
        <f>IF(Table32[[#This Row],[City]] = " Bengaluru","Asia",IF(Table32[[#This Row],[City]]=" Shanghai", "Asia", "Europe"))</f>
        <v>Asia</v>
      </c>
      <c r="Q51" s="26">
        <v>560001</v>
      </c>
      <c r="R51" s="26" t="s">
        <v>21</v>
      </c>
      <c r="S51" s="26">
        <v>800</v>
      </c>
      <c r="T51" s="28"/>
      <c r="U51" s="26"/>
      <c r="V51" s="33">
        <f>IF(S51&lt;&gt;"",S51,IF(T51&lt;&gt;"",T51*(0.005462),IF(U51&lt;&gt;"",U51*(0.00952),"")))</f>
        <v>800</v>
      </c>
      <c r="W51" s="37">
        <f t="shared" si="9"/>
        <v>931.19999999999993</v>
      </c>
      <c r="X51" s="26">
        <v>450</v>
      </c>
      <c r="Y51" s="31">
        <v>0</v>
      </c>
      <c r="Z51" s="32">
        <f t="shared" si="4"/>
        <v>0</v>
      </c>
      <c r="AA51" s="38">
        <f t="shared" si="5"/>
        <v>419039.99999999994</v>
      </c>
    </row>
    <row r="52" spans="1:27">
      <c r="A52" s="25">
        <v>51</v>
      </c>
      <c r="B52" s="26" t="s">
        <v>13</v>
      </c>
      <c r="C52" s="26" t="s">
        <v>14</v>
      </c>
      <c r="D52" s="26" t="str">
        <f t="shared" si="6"/>
        <v>Sanya Joshi</v>
      </c>
      <c r="E52" s="26" t="s">
        <v>68</v>
      </c>
      <c r="F52" s="26" t="s">
        <v>29</v>
      </c>
      <c r="G52" s="26">
        <v>18</v>
      </c>
      <c r="H52" s="26" t="s">
        <v>31</v>
      </c>
      <c r="I52" s="26" t="str">
        <f t="shared" si="7"/>
        <v>Min 18 - Max 28 mph</v>
      </c>
      <c r="J52" s="26">
        <v>25</v>
      </c>
      <c r="K52" s="26" t="s">
        <v>99</v>
      </c>
      <c r="L52" s="26" t="str">
        <f t="shared" si="8"/>
        <v>40233,35 meters</v>
      </c>
      <c r="M52" s="26" t="s">
        <v>33</v>
      </c>
      <c r="N52" s="26" t="s">
        <v>109</v>
      </c>
      <c r="O52" s="26" t="s">
        <v>102</v>
      </c>
      <c r="P52" s="26" t="str">
        <f>IF(Table32[[#This Row],[City]] = " Bengaluru","Asia",IF(Table32[[#This Row],[City]]=" Shanghai", "Asia", "Europe"))</f>
        <v>Asia</v>
      </c>
      <c r="Q52" s="26">
        <v>560001</v>
      </c>
      <c r="R52" s="26" t="s">
        <v>21</v>
      </c>
      <c r="S52" s="26">
        <v>950</v>
      </c>
      <c r="T52" s="28"/>
      <c r="U52" s="26"/>
      <c r="V52" s="33">
        <f>IF(S52&lt;&gt;"",S52,IF(T52&lt;&gt;"",T52*(0.005462),IF(U52&lt;&gt;"",U52*(0.00952),"")))</f>
        <v>950</v>
      </c>
      <c r="W52" s="37">
        <f t="shared" si="9"/>
        <v>1105.8</v>
      </c>
      <c r="X52" s="26">
        <v>350</v>
      </c>
      <c r="Y52" s="31">
        <v>0</v>
      </c>
      <c r="Z52" s="32">
        <f t="shared" si="4"/>
        <v>0</v>
      </c>
      <c r="AA52" s="38">
        <f t="shared" si="5"/>
        <v>387030</v>
      </c>
    </row>
    <row r="53" spans="1:27">
      <c r="A53" s="25">
        <v>52</v>
      </c>
      <c r="B53" s="26" t="s">
        <v>35</v>
      </c>
      <c r="C53" s="26" t="s">
        <v>36</v>
      </c>
      <c r="D53" s="26" t="str">
        <f t="shared" si="6"/>
        <v>Fang Liu</v>
      </c>
      <c r="E53" s="26" t="s">
        <v>68</v>
      </c>
      <c r="F53" s="26" t="s">
        <v>16</v>
      </c>
      <c r="G53" s="26">
        <v>15</v>
      </c>
      <c r="H53" s="26" t="s">
        <v>18</v>
      </c>
      <c r="I53" s="26" t="str">
        <f t="shared" si="7"/>
        <v>Min 15 - Max 30 mph</v>
      </c>
      <c r="J53" s="26">
        <v>48.28</v>
      </c>
      <c r="K53" s="26" t="s">
        <v>115</v>
      </c>
      <c r="L53" s="26" t="str">
        <f t="shared" si="8"/>
        <v>48,28 meters</v>
      </c>
      <c r="M53" s="26" t="s">
        <v>37</v>
      </c>
      <c r="N53" s="26" t="s">
        <v>111</v>
      </c>
      <c r="O53" s="26" t="s">
        <v>112</v>
      </c>
      <c r="P53" s="26" t="str">
        <f>IF(Table32[[#This Row],[City]] = " Bengaluru","Asia",IF(Table32[[#This Row],[City]]=" Shanghai", "Asia", "Europe"))</f>
        <v>Asia</v>
      </c>
      <c r="Q53" s="26">
        <v>200001</v>
      </c>
      <c r="R53" s="26" t="s">
        <v>38</v>
      </c>
      <c r="S53" s="26">
        <v>1100</v>
      </c>
      <c r="T53" s="28"/>
      <c r="U53" s="26"/>
      <c r="V53" s="33">
        <f>IF(S53&lt;&gt;"",S53,IF(T53&lt;&gt;"",T53*(0.005462),IF(U53&lt;&gt;"",U53*(0.00952),"")))</f>
        <v>1100</v>
      </c>
      <c r="W53" s="37">
        <f t="shared" si="9"/>
        <v>1280.3999999999999</v>
      </c>
      <c r="X53" s="26">
        <v>700</v>
      </c>
      <c r="Y53" s="31">
        <v>0</v>
      </c>
      <c r="Z53" s="32">
        <f t="shared" si="4"/>
        <v>0</v>
      </c>
      <c r="AA53" s="38">
        <f t="shared" si="5"/>
        <v>896279.99999999988</v>
      </c>
    </row>
    <row r="54" spans="1:27">
      <c r="A54" s="25">
        <v>53</v>
      </c>
      <c r="B54" s="26" t="s">
        <v>35</v>
      </c>
      <c r="C54" s="26" t="s">
        <v>36</v>
      </c>
      <c r="D54" s="26" t="str">
        <f t="shared" si="6"/>
        <v>Fang Liu</v>
      </c>
      <c r="E54" s="26" t="s">
        <v>68</v>
      </c>
      <c r="F54" s="26" t="s">
        <v>23</v>
      </c>
      <c r="G54" s="26">
        <v>20</v>
      </c>
      <c r="H54" s="26" t="s">
        <v>25</v>
      </c>
      <c r="I54" s="26" t="str">
        <f t="shared" si="7"/>
        <v>Min 20 - Max 35 mph</v>
      </c>
      <c r="J54" s="26">
        <v>40</v>
      </c>
      <c r="K54" s="26" t="s">
        <v>99</v>
      </c>
      <c r="L54" s="26" t="str">
        <f t="shared" si="8"/>
        <v>64373,36 meters</v>
      </c>
      <c r="M54" s="26" t="s">
        <v>40</v>
      </c>
      <c r="N54" s="26" t="s">
        <v>113</v>
      </c>
      <c r="O54" s="26" t="s">
        <v>112</v>
      </c>
      <c r="P54" s="26" t="str">
        <f>IF(Table32[[#This Row],[City]] = " Bengaluru","Asia",IF(Table32[[#This Row],[City]]=" Shanghai", "Asia", "Europe"))</f>
        <v>Asia</v>
      </c>
      <c r="Q54" s="26">
        <v>200001</v>
      </c>
      <c r="R54" s="26" t="s">
        <v>38</v>
      </c>
      <c r="S54" s="26">
        <v>900</v>
      </c>
      <c r="T54" s="28"/>
      <c r="U54" s="26"/>
      <c r="V54" s="33">
        <f>IF(S54&lt;&gt;"",S54,IF(T54&lt;&gt;"",T54*(0.005462),IF(U54&lt;&gt;"",U54*(0.00952),"")))</f>
        <v>900</v>
      </c>
      <c r="W54" s="37">
        <f t="shared" si="9"/>
        <v>1047.5999999999999</v>
      </c>
      <c r="X54" s="26">
        <v>1600</v>
      </c>
      <c r="Y54" s="31">
        <v>0</v>
      </c>
      <c r="Z54" s="32">
        <f t="shared" si="4"/>
        <v>0</v>
      </c>
      <c r="AA54" s="38">
        <f t="shared" si="5"/>
        <v>1676159.9999999998</v>
      </c>
    </row>
    <row r="55" spans="1:27">
      <c r="A55" s="25">
        <v>54</v>
      </c>
      <c r="B55" s="26" t="s">
        <v>35</v>
      </c>
      <c r="C55" s="26" t="s">
        <v>36</v>
      </c>
      <c r="D55" s="26" t="str">
        <f t="shared" si="6"/>
        <v>Fang Liu</v>
      </c>
      <c r="E55" s="26" t="s">
        <v>68</v>
      </c>
      <c r="F55" s="26" t="s">
        <v>29</v>
      </c>
      <c r="G55" s="26">
        <v>18</v>
      </c>
      <c r="H55" s="26" t="s">
        <v>31</v>
      </c>
      <c r="I55" s="26" t="str">
        <f t="shared" si="7"/>
        <v>Min 18 - Max 28 mph</v>
      </c>
      <c r="J55" s="26">
        <v>25</v>
      </c>
      <c r="K55" s="26" t="s">
        <v>99</v>
      </c>
      <c r="L55" s="26" t="str">
        <f t="shared" si="8"/>
        <v>40233,35 meters</v>
      </c>
      <c r="M55" s="26" t="s">
        <v>43</v>
      </c>
      <c r="N55" s="26" t="s">
        <v>117</v>
      </c>
      <c r="O55" s="26" t="s">
        <v>112</v>
      </c>
      <c r="P55" s="26" t="str">
        <f>IF(Table32[[#This Row],[City]] = " Bengaluru","Asia",IF(Table32[[#This Row],[City]]=" Shanghai", "Asia", "Europe"))</f>
        <v>Asia</v>
      </c>
      <c r="Q55" s="26">
        <v>200001</v>
      </c>
      <c r="R55" s="26" t="s">
        <v>38</v>
      </c>
      <c r="S55" s="26">
        <v>1050</v>
      </c>
      <c r="T55" s="28"/>
      <c r="U55" s="26"/>
      <c r="V55" s="33">
        <f>IF(S55&lt;&gt;"",S55,IF(T55&lt;&gt;"",T55*(0.005462),IF(U55&lt;&gt;"",U55*(0.00952),"")))</f>
        <v>1050</v>
      </c>
      <c r="W55" s="37">
        <f t="shared" si="9"/>
        <v>1222.1999999999998</v>
      </c>
      <c r="X55" s="26">
        <v>1000</v>
      </c>
      <c r="Y55" s="31">
        <v>0</v>
      </c>
      <c r="Z55" s="32">
        <f t="shared" si="4"/>
        <v>0</v>
      </c>
      <c r="AA55" s="38">
        <f t="shared" si="5"/>
        <v>1222199.9999999998</v>
      </c>
    </row>
    <row r="56" spans="1:27">
      <c r="A56" s="25">
        <v>55</v>
      </c>
      <c r="B56" s="26" t="s">
        <v>45</v>
      </c>
      <c r="C56" s="26" t="s">
        <v>46</v>
      </c>
      <c r="D56" s="26" t="str">
        <f t="shared" si="6"/>
        <v>Jonas Fischer</v>
      </c>
      <c r="E56" s="26" t="s">
        <v>68</v>
      </c>
      <c r="F56" s="26" t="s">
        <v>16</v>
      </c>
      <c r="G56" s="26">
        <v>15</v>
      </c>
      <c r="H56" s="26" t="s">
        <v>18</v>
      </c>
      <c r="I56" s="26" t="str">
        <f t="shared" si="7"/>
        <v>Min 15 - Max 30 mph</v>
      </c>
      <c r="J56" s="26">
        <v>30</v>
      </c>
      <c r="K56" s="26" t="s">
        <v>99</v>
      </c>
      <c r="L56" s="26" t="str">
        <f t="shared" si="8"/>
        <v>48280,02 meters</v>
      </c>
      <c r="M56" s="26" t="s">
        <v>48</v>
      </c>
      <c r="N56" s="26" t="s">
        <v>124</v>
      </c>
      <c r="O56" s="26" t="s">
        <v>125</v>
      </c>
      <c r="P56" s="26" t="str">
        <f>IF(Table32[[#This Row],[City]] = " Bengaluru","Asia",IF(Table32[[#This Row],[City]]=" Shanghai", "Asia", "Europe"))</f>
        <v>Europe</v>
      </c>
      <c r="Q56" s="26">
        <v>20095</v>
      </c>
      <c r="R56" s="26" t="s">
        <v>49</v>
      </c>
      <c r="S56" s="26"/>
      <c r="T56" s="28"/>
      <c r="U56" s="29">
        <v>30000</v>
      </c>
      <c r="V56" s="33">
        <f>IF(S56&lt;&gt;"",S56,IF(T56&lt;&gt;"",T56*(0.005462),IF(U56&lt;&gt;"",U56*(0.00952),"")))</f>
        <v>285.60000000000002</v>
      </c>
      <c r="W56" s="37">
        <f t="shared" si="9"/>
        <v>332.4384</v>
      </c>
      <c r="X56" s="26">
        <v>180</v>
      </c>
      <c r="Y56" s="31">
        <v>0</v>
      </c>
      <c r="Z56" s="32">
        <f t="shared" si="4"/>
        <v>0</v>
      </c>
      <c r="AA56" s="38">
        <f t="shared" si="5"/>
        <v>59838.911999999997</v>
      </c>
    </row>
    <row r="57" spans="1:27">
      <c r="A57" s="25">
        <v>56</v>
      </c>
      <c r="B57" s="26" t="s">
        <v>45</v>
      </c>
      <c r="C57" s="26" t="s">
        <v>46</v>
      </c>
      <c r="D57" s="26" t="str">
        <f t="shared" si="6"/>
        <v>Jonas Fischer</v>
      </c>
      <c r="E57" s="26" t="s">
        <v>68</v>
      </c>
      <c r="F57" s="26" t="s">
        <v>23</v>
      </c>
      <c r="G57" s="26">
        <v>20</v>
      </c>
      <c r="H57" s="26" t="s">
        <v>25</v>
      </c>
      <c r="I57" s="26" t="str">
        <f t="shared" si="7"/>
        <v>Min 20 - Max 35 mph</v>
      </c>
      <c r="J57" s="26">
        <v>40</v>
      </c>
      <c r="K57" s="26" t="s">
        <v>99</v>
      </c>
      <c r="L57" s="26" t="str">
        <f t="shared" si="8"/>
        <v>64373,36 meters</v>
      </c>
      <c r="M57" s="26" t="s">
        <v>51</v>
      </c>
      <c r="N57" s="26" t="s">
        <v>127</v>
      </c>
      <c r="O57" s="26" t="s">
        <v>125</v>
      </c>
      <c r="P57" s="26" t="str">
        <f>IF(Table32[[#This Row],[City]] = " Bengaluru","Asia",IF(Table32[[#This Row],[City]]=" Shanghai", "Asia", "Europe"))</f>
        <v>Europe</v>
      </c>
      <c r="Q57" s="26">
        <v>20095</v>
      </c>
      <c r="R57" s="26" t="s">
        <v>49</v>
      </c>
      <c r="S57" s="26"/>
      <c r="T57" s="28"/>
      <c r="U57" s="29">
        <v>25000</v>
      </c>
      <c r="V57" s="33">
        <f>IF(S57&lt;&gt;"",S57,IF(T57&lt;&gt;"",T57*(0.005462),IF(U57&lt;&gt;"",U57*(0.00952),"")))</f>
        <v>238.00000000000003</v>
      </c>
      <c r="W57" s="37">
        <f t="shared" si="9"/>
        <v>277.03200000000004</v>
      </c>
      <c r="X57" s="26">
        <v>320</v>
      </c>
      <c r="Y57" s="31">
        <v>0</v>
      </c>
      <c r="Z57" s="32">
        <f t="shared" si="4"/>
        <v>0</v>
      </c>
      <c r="AA57" s="38">
        <f t="shared" si="5"/>
        <v>88650.24000000002</v>
      </c>
    </row>
    <row r="58" spans="1:27">
      <c r="A58" s="25">
        <v>57</v>
      </c>
      <c r="B58" s="26" t="s">
        <v>45</v>
      </c>
      <c r="C58" s="26" t="s">
        <v>46</v>
      </c>
      <c r="D58" s="26" t="str">
        <f t="shared" si="6"/>
        <v>Jonas Fischer</v>
      </c>
      <c r="E58" s="26" t="s">
        <v>68</v>
      </c>
      <c r="F58" s="26" t="s">
        <v>29</v>
      </c>
      <c r="G58" s="26">
        <v>18</v>
      </c>
      <c r="H58" s="26" t="s">
        <v>31</v>
      </c>
      <c r="I58" s="26" t="str">
        <f t="shared" si="7"/>
        <v>Min 18 - Max 28 mph</v>
      </c>
      <c r="J58" s="26">
        <v>25</v>
      </c>
      <c r="K58" s="26" t="s">
        <v>99</v>
      </c>
      <c r="L58" s="26" t="str">
        <f t="shared" si="8"/>
        <v>40233,35 meters</v>
      </c>
      <c r="M58" s="26" t="s">
        <v>53</v>
      </c>
      <c r="N58" s="26" t="s">
        <v>128</v>
      </c>
      <c r="O58" s="26" t="s">
        <v>125</v>
      </c>
      <c r="P58" s="26" t="str">
        <f>IF(Table32[[#This Row],[City]] = " Bengaluru","Asia",IF(Table32[[#This Row],[City]]=" Shanghai", "Asia", "Europe"))</f>
        <v>Europe</v>
      </c>
      <c r="Q58" s="26">
        <v>20095</v>
      </c>
      <c r="R58" s="26" t="s">
        <v>49</v>
      </c>
      <c r="S58" s="26"/>
      <c r="T58" s="28"/>
      <c r="U58" s="29">
        <v>22000</v>
      </c>
      <c r="V58" s="33">
        <f>IF(S58&lt;&gt;"",S58,IF(T58&lt;&gt;"",T58*(0.005462),IF(U58&lt;&gt;"",U58*(0.00952),"")))</f>
        <v>209.44000000000003</v>
      </c>
      <c r="W58" s="37">
        <f t="shared" si="9"/>
        <v>243.78816</v>
      </c>
      <c r="X58" s="26">
        <v>220</v>
      </c>
      <c r="Y58" s="31">
        <v>0</v>
      </c>
      <c r="Z58" s="32">
        <f t="shared" si="4"/>
        <v>0</v>
      </c>
      <c r="AA58" s="38">
        <f t="shared" si="5"/>
        <v>53633.395199999999</v>
      </c>
    </row>
    <row r="59" spans="1:27">
      <c r="A59" s="25">
        <v>58</v>
      </c>
      <c r="B59" s="26" t="s">
        <v>55</v>
      </c>
      <c r="C59" s="26" t="s">
        <v>56</v>
      </c>
      <c r="D59" s="26" t="str">
        <f t="shared" si="6"/>
        <v>Théo Bernard</v>
      </c>
      <c r="E59" s="26" t="s">
        <v>68</v>
      </c>
      <c r="F59" s="26" t="s">
        <v>16</v>
      </c>
      <c r="G59" s="26">
        <v>15</v>
      </c>
      <c r="H59" s="26" t="s">
        <v>18</v>
      </c>
      <c r="I59" s="26" t="str">
        <f t="shared" si="7"/>
        <v>Min 15 - Max 30 mph</v>
      </c>
      <c r="J59" s="26">
        <v>30</v>
      </c>
      <c r="K59" s="26" t="s">
        <v>99</v>
      </c>
      <c r="L59" s="26" t="str">
        <f t="shared" si="8"/>
        <v>48280,02 meters</v>
      </c>
      <c r="M59" s="26" t="s">
        <v>57</v>
      </c>
      <c r="N59" s="26" t="s">
        <v>130</v>
      </c>
      <c r="O59" s="26" t="s">
        <v>131</v>
      </c>
      <c r="P59" s="26" t="str">
        <f>IF(Table32[[#This Row],[City]] = " Bengaluru","Asia",IF(Table32[[#This Row],[City]]=" Shanghai", "Asia", "Europe"))</f>
        <v>Europe</v>
      </c>
      <c r="Q59" s="26">
        <v>75005</v>
      </c>
      <c r="R59" s="26" t="s">
        <v>58</v>
      </c>
      <c r="S59" s="26"/>
      <c r="T59" s="28">
        <v>5000</v>
      </c>
      <c r="U59" s="26"/>
      <c r="V59" s="33">
        <f>IF(S59&lt;&gt;"",S59,IF(T59&lt;&gt;"",T59*(0.005462),IF(U59&lt;&gt;"",U59*(0.00952),"")))</f>
        <v>27.31</v>
      </c>
      <c r="W59" s="37">
        <f t="shared" si="9"/>
        <v>31.788839999999997</v>
      </c>
      <c r="X59" s="26">
        <v>140</v>
      </c>
      <c r="Y59" s="31">
        <v>0</v>
      </c>
      <c r="Z59" s="32">
        <f t="shared" si="4"/>
        <v>0</v>
      </c>
      <c r="AA59" s="38">
        <f t="shared" si="5"/>
        <v>4450.4375999999993</v>
      </c>
    </row>
    <row r="60" spans="1:27">
      <c r="A60" s="25">
        <v>59</v>
      </c>
      <c r="B60" s="26" t="s">
        <v>55</v>
      </c>
      <c r="C60" s="26" t="s">
        <v>56</v>
      </c>
      <c r="D60" s="26" t="str">
        <f t="shared" si="6"/>
        <v>Théo Bernard</v>
      </c>
      <c r="E60" s="26" t="s">
        <v>68</v>
      </c>
      <c r="F60" s="26" t="s">
        <v>23</v>
      </c>
      <c r="G60" s="26">
        <v>20</v>
      </c>
      <c r="H60" s="26" t="s">
        <v>25</v>
      </c>
      <c r="I60" s="26" t="str">
        <f t="shared" si="7"/>
        <v>Min 20 - Max 35 mph</v>
      </c>
      <c r="J60" s="26">
        <v>64.37</v>
      </c>
      <c r="K60" s="26" t="s">
        <v>115</v>
      </c>
      <c r="L60" s="26" t="str">
        <f t="shared" si="8"/>
        <v>64,37 meters</v>
      </c>
      <c r="M60" s="26" t="s">
        <v>61</v>
      </c>
      <c r="N60" s="26" t="s">
        <v>132</v>
      </c>
      <c r="O60" s="26" t="s">
        <v>131</v>
      </c>
      <c r="P60" s="26" t="str">
        <f>IF(Table32[[#This Row],[City]] = " Bengaluru","Asia",IF(Table32[[#This Row],[City]]=" Shanghai", "Asia", "Europe"))</f>
        <v>Europe</v>
      </c>
      <c r="Q60" s="26">
        <v>75005</v>
      </c>
      <c r="R60" s="26" t="s">
        <v>58</v>
      </c>
      <c r="S60" s="26"/>
      <c r="T60" s="28">
        <v>3500</v>
      </c>
      <c r="U60" s="26"/>
      <c r="V60" s="33">
        <f>IF(S60&lt;&gt;"",S60,IF(T60&lt;&gt;"",T60*(0.005462),IF(U60&lt;&gt;"",U60*(0.00952),"")))</f>
        <v>19.117000000000001</v>
      </c>
      <c r="W60" s="37">
        <f t="shared" si="9"/>
        <v>22.252188</v>
      </c>
      <c r="X60" s="26">
        <v>300</v>
      </c>
      <c r="Y60" s="31">
        <v>0</v>
      </c>
      <c r="Z60" s="32">
        <f t="shared" si="4"/>
        <v>0</v>
      </c>
      <c r="AA60" s="38">
        <f t="shared" si="5"/>
        <v>6675.6563999999998</v>
      </c>
    </row>
    <row r="61" spans="1:27">
      <c r="A61" s="25">
        <v>60</v>
      </c>
      <c r="B61" s="26" t="s">
        <v>55</v>
      </c>
      <c r="C61" s="26" t="s">
        <v>56</v>
      </c>
      <c r="D61" s="26" t="str">
        <f t="shared" si="6"/>
        <v>Théo Bernard</v>
      </c>
      <c r="E61" s="26" t="s">
        <v>68</v>
      </c>
      <c r="F61" s="26" t="s">
        <v>29</v>
      </c>
      <c r="G61" s="26">
        <v>18</v>
      </c>
      <c r="H61" s="26" t="s">
        <v>31</v>
      </c>
      <c r="I61" s="26" t="str">
        <f t="shared" si="7"/>
        <v>Min 18 - Max 28 mph</v>
      </c>
      <c r="J61" s="26">
        <v>25</v>
      </c>
      <c r="K61" s="26" t="s">
        <v>99</v>
      </c>
      <c r="L61" s="26" t="str">
        <f t="shared" si="8"/>
        <v>40233,35 meters</v>
      </c>
      <c r="M61" s="26" t="s">
        <v>63</v>
      </c>
      <c r="N61" s="26" t="s">
        <v>133</v>
      </c>
      <c r="O61" s="26" t="s">
        <v>131</v>
      </c>
      <c r="P61" s="26" t="str">
        <f>IF(Table32[[#This Row],[City]] = " Bengaluru","Asia",IF(Table32[[#This Row],[City]]=" Shanghai", "Asia", "Europe"))</f>
        <v>Europe</v>
      </c>
      <c r="Q61" s="26">
        <v>75005</v>
      </c>
      <c r="R61" s="26" t="s">
        <v>58</v>
      </c>
      <c r="S61" s="26"/>
      <c r="T61" s="28">
        <v>3500</v>
      </c>
      <c r="U61" s="26"/>
      <c r="V61" s="33">
        <f>IF(S61&lt;&gt;"",S61,IF(T61&lt;&gt;"",T61*(0.005462),IF(U61&lt;&gt;"",U61*(0.00952),"")))</f>
        <v>19.117000000000001</v>
      </c>
      <c r="W61" s="37">
        <f t="shared" si="9"/>
        <v>22.252188</v>
      </c>
      <c r="X61" s="26">
        <v>280</v>
      </c>
      <c r="Y61" s="31">
        <v>0</v>
      </c>
      <c r="Z61" s="32">
        <f t="shared" si="4"/>
        <v>0</v>
      </c>
      <c r="AA61" s="38">
        <f t="shared" si="5"/>
        <v>6230.6126400000003</v>
      </c>
    </row>
    <row r="62" spans="1:27">
      <c r="A62" s="25">
        <v>61</v>
      </c>
      <c r="B62" s="26" t="s">
        <v>13</v>
      </c>
      <c r="C62" s="26" t="s">
        <v>14</v>
      </c>
      <c r="D62" s="26" t="str">
        <f t="shared" si="6"/>
        <v>Sanya Joshi</v>
      </c>
      <c r="E62" s="26" t="s">
        <v>69</v>
      </c>
      <c r="F62" s="26" t="s">
        <v>16</v>
      </c>
      <c r="G62" s="26">
        <v>15</v>
      </c>
      <c r="H62" s="26" t="s">
        <v>18</v>
      </c>
      <c r="I62" s="26" t="str">
        <f t="shared" si="7"/>
        <v>Min 15 - Max 30 mph</v>
      </c>
      <c r="J62" s="26">
        <v>30</v>
      </c>
      <c r="K62" s="26" t="s">
        <v>99</v>
      </c>
      <c r="L62" s="26" t="str">
        <f t="shared" si="8"/>
        <v>48280,02 meters</v>
      </c>
      <c r="M62" s="26" t="s">
        <v>20</v>
      </c>
      <c r="N62" s="26" t="s">
        <v>101</v>
      </c>
      <c r="O62" s="26" t="s">
        <v>102</v>
      </c>
      <c r="P62" s="26" t="str">
        <f>IF(Table32[[#This Row],[City]] = " Bengaluru","Asia",IF(Table32[[#This Row],[City]]=" Shanghai", "Asia", "Europe"))</f>
        <v>Asia</v>
      </c>
      <c r="Q62" s="26">
        <v>560001</v>
      </c>
      <c r="R62" s="26" t="s">
        <v>21</v>
      </c>
      <c r="S62" s="26"/>
      <c r="T62" s="28">
        <v>4200</v>
      </c>
      <c r="U62" s="26"/>
      <c r="V62" s="33">
        <f>IF(S62&lt;&gt;"",S62,IF(T62&lt;&gt;"",T62*(0.005462),IF(U62&lt;&gt;"",U62*(0.00952),"")))</f>
        <v>22.9404</v>
      </c>
      <c r="W62" s="37">
        <f t="shared" si="9"/>
        <v>26.702625599999998</v>
      </c>
      <c r="X62" s="26">
        <v>250</v>
      </c>
      <c r="Y62" s="31">
        <v>0</v>
      </c>
      <c r="Z62" s="32">
        <f t="shared" si="4"/>
        <v>0</v>
      </c>
      <c r="AA62" s="38">
        <f t="shared" si="5"/>
        <v>6675.6563999999989</v>
      </c>
    </row>
    <row r="63" spans="1:27">
      <c r="A63" s="25">
        <v>62</v>
      </c>
      <c r="B63" s="26" t="s">
        <v>13</v>
      </c>
      <c r="C63" s="26" t="s">
        <v>14</v>
      </c>
      <c r="D63" s="26" t="str">
        <f t="shared" si="6"/>
        <v>Sanya Joshi</v>
      </c>
      <c r="E63" s="26" t="s">
        <v>69</v>
      </c>
      <c r="F63" s="26" t="s">
        <v>23</v>
      </c>
      <c r="G63" s="26">
        <v>20</v>
      </c>
      <c r="H63" s="26" t="s">
        <v>25</v>
      </c>
      <c r="I63" s="26" t="str">
        <f t="shared" si="7"/>
        <v>Min 20 - Max 35 mph</v>
      </c>
      <c r="J63" s="26">
        <v>40</v>
      </c>
      <c r="K63" s="26" t="s">
        <v>99</v>
      </c>
      <c r="L63" s="26" t="str">
        <f t="shared" si="8"/>
        <v>64373,36 meters</v>
      </c>
      <c r="M63" s="26" t="s">
        <v>27</v>
      </c>
      <c r="N63" s="26" t="s">
        <v>106</v>
      </c>
      <c r="O63" s="26" t="s">
        <v>102</v>
      </c>
      <c r="P63" s="26" t="str">
        <f>IF(Table32[[#This Row],[City]] = " Bengaluru","Asia",IF(Table32[[#This Row],[City]]=" Shanghai", "Asia", "Europe"))</f>
        <v>Asia</v>
      </c>
      <c r="Q63" s="26">
        <v>560001</v>
      </c>
      <c r="R63" s="26" t="s">
        <v>21</v>
      </c>
      <c r="S63" s="26">
        <v>1000</v>
      </c>
      <c r="T63" s="28"/>
      <c r="U63" s="26"/>
      <c r="V63" s="33">
        <f>IF(S63&lt;&gt;"",S63,IF(T63&lt;&gt;"",T63*(0.005462),IF(U63&lt;&gt;"",U63*(0.00952),"")))</f>
        <v>1000</v>
      </c>
      <c r="W63" s="37">
        <f t="shared" si="9"/>
        <v>1164</v>
      </c>
      <c r="X63" s="26">
        <v>500</v>
      </c>
      <c r="Y63" s="31">
        <v>0</v>
      </c>
      <c r="Z63" s="32">
        <f t="shared" si="4"/>
        <v>0</v>
      </c>
      <c r="AA63" s="38">
        <f t="shared" si="5"/>
        <v>582000</v>
      </c>
    </row>
    <row r="64" spans="1:27">
      <c r="A64" s="25">
        <v>63</v>
      </c>
      <c r="B64" s="26" t="s">
        <v>13</v>
      </c>
      <c r="C64" s="26" t="s">
        <v>14</v>
      </c>
      <c r="D64" s="26" t="str">
        <f t="shared" si="6"/>
        <v>Sanya Joshi</v>
      </c>
      <c r="E64" s="26" t="s">
        <v>69</v>
      </c>
      <c r="F64" s="26" t="s">
        <v>29</v>
      </c>
      <c r="G64" s="26">
        <v>17.515000000000001</v>
      </c>
      <c r="H64" s="26" t="s">
        <v>31</v>
      </c>
      <c r="I64" s="26" t="str">
        <f t="shared" si="7"/>
        <v>Min 17,515 - Max 28 mph</v>
      </c>
      <c r="J64" s="26">
        <v>25</v>
      </c>
      <c r="K64" s="26" t="s">
        <v>99</v>
      </c>
      <c r="L64" s="26" t="str">
        <f t="shared" si="8"/>
        <v>40233,35 meters</v>
      </c>
      <c r="M64" s="26" t="s">
        <v>33</v>
      </c>
      <c r="N64" s="26" t="s">
        <v>109</v>
      </c>
      <c r="O64" s="26" t="s">
        <v>102</v>
      </c>
      <c r="P64" s="26" t="str">
        <f>IF(Table32[[#This Row],[City]] = " Bengaluru","Asia",IF(Table32[[#This Row],[City]]=" Shanghai", "Asia", "Europe"))</f>
        <v>Asia</v>
      </c>
      <c r="Q64" s="26">
        <v>560001</v>
      </c>
      <c r="R64" s="26" t="s">
        <v>21</v>
      </c>
      <c r="S64" s="26">
        <v>800</v>
      </c>
      <c r="T64" s="28"/>
      <c r="U64" s="26"/>
      <c r="V64" s="33">
        <f>IF(S64&lt;&gt;"",S64,IF(T64&lt;&gt;"",T64*(0.005462),IF(U64&lt;&gt;"",U64*(0.00952),"")))</f>
        <v>800</v>
      </c>
      <c r="W64" s="37">
        <f t="shared" si="9"/>
        <v>931.19999999999993</v>
      </c>
      <c r="X64" s="26">
        <v>400</v>
      </c>
      <c r="Y64" s="31">
        <v>0</v>
      </c>
      <c r="Z64" s="32">
        <f t="shared" si="4"/>
        <v>0</v>
      </c>
      <c r="AA64" s="38">
        <f t="shared" si="5"/>
        <v>372480</v>
      </c>
    </row>
    <row r="65" spans="1:27">
      <c r="A65" s="25">
        <v>64</v>
      </c>
      <c r="B65" s="26" t="s">
        <v>35</v>
      </c>
      <c r="C65" s="26" t="s">
        <v>36</v>
      </c>
      <c r="D65" s="26" t="str">
        <f t="shared" si="6"/>
        <v>Fang Liu</v>
      </c>
      <c r="E65" s="26" t="s">
        <v>69</v>
      </c>
      <c r="F65" s="26" t="s">
        <v>16</v>
      </c>
      <c r="G65" s="26">
        <v>15</v>
      </c>
      <c r="H65" s="26" t="s">
        <v>18</v>
      </c>
      <c r="I65" s="26" t="str">
        <f t="shared" si="7"/>
        <v>Min 15 - Max 30 mph</v>
      </c>
      <c r="J65" s="26">
        <v>30</v>
      </c>
      <c r="K65" s="26" t="s">
        <v>99</v>
      </c>
      <c r="L65" s="26" t="str">
        <f t="shared" si="8"/>
        <v>48280,02 meters</v>
      </c>
      <c r="M65" s="26" t="s">
        <v>37</v>
      </c>
      <c r="N65" s="26" t="s">
        <v>111</v>
      </c>
      <c r="O65" s="26" t="s">
        <v>112</v>
      </c>
      <c r="P65" s="26" t="str">
        <f>IF(Table32[[#This Row],[City]] = " Bengaluru","Asia",IF(Table32[[#This Row],[City]]=" Shanghai", "Asia", "Europe"))</f>
        <v>Asia</v>
      </c>
      <c r="Q65" s="26">
        <v>200001</v>
      </c>
      <c r="R65" s="26" t="s">
        <v>38</v>
      </c>
      <c r="S65" s="26">
        <v>950</v>
      </c>
      <c r="T65" s="28"/>
      <c r="U65" s="26"/>
      <c r="V65" s="33">
        <f>IF(S65&lt;&gt;"",S65,IF(T65&lt;&gt;"",T65*(0.005462),IF(U65&lt;&gt;"",U65*(0.00952),"")))</f>
        <v>950</v>
      </c>
      <c r="W65" s="37">
        <f t="shared" si="9"/>
        <v>1105.8</v>
      </c>
      <c r="X65" s="26">
        <v>800</v>
      </c>
      <c r="Y65" s="31">
        <v>0</v>
      </c>
      <c r="Z65" s="32">
        <f t="shared" si="4"/>
        <v>0</v>
      </c>
      <c r="AA65" s="38">
        <f t="shared" si="5"/>
        <v>884640</v>
      </c>
    </row>
    <row r="66" spans="1:27">
      <c r="A66" s="25">
        <v>65</v>
      </c>
      <c r="B66" s="26" t="s">
        <v>35</v>
      </c>
      <c r="C66" s="26" t="s">
        <v>36</v>
      </c>
      <c r="D66" s="26" t="str">
        <f t="shared" ref="D66:D97" si="10">B66 &amp; " " &amp; C66</f>
        <v>Fang Liu</v>
      </c>
      <c r="E66" s="26" t="s">
        <v>69</v>
      </c>
      <c r="F66" s="26" t="s">
        <v>23</v>
      </c>
      <c r="G66" s="26">
        <v>20</v>
      </c>
      <c r="H66" s="26" t="s">
        <v>25</v>
      </c>
      <c r="I66" s="26" t="str">
        <f t="shared" ref="I66:I97" si="11">"Min " &amp; G66 &amp; " - Max " &amp; H66</f>
        <v>Min 20 - Max 35 mph</v>
      </c>
      <c r="J66" s="26">
        <v>40</v>
      </c>
      <c r="K66" s="26" t="s">
        <v>99</v>
      </c>
      <c r="L66" s="26" t="str">
        <f t="shared" ref="L66:L97" si="12">IF(K66 = "miles", J66*1609.334,J66) &amp; " meters"</f>
        <v>64373,36 meters</v>
      </c>
      <c r="M66" s="26" t="s">
        <v>40</v>
      </c>
      <c r="N66" s="26" t="s">
        <v>113</v>
      </c>
      <c r="O66" s="26" t="s">
        <v>112</v>
      </c>
      <c r="P66" s="26" t="str">
        <f>IF(Table32[[#This Row],[City]] = " Bengaluru","Asia",IF(Table32[[#This Row],[City]]=" Shanghai", "Asia", "Europe"))</f>
        <v>Asia</v>
      </c>
      <c r="Q66" s="26">
        <v>200001</v>
      </c>
      <c r="R66" s="26" t="s">
        <v>38</v>
      </c>
      <c r="S66" s="26">
        <v>1100</v>
      </c>
      <c r="T66" s="28"/>
      <c r="U66" s="26"/>
      <c r="V66" s="33">
        <f>IF(S66&lt;&gt;"",S66,IF(T66&lt;&gt;"",T66*(0.005462),IF(U66&lt;&gt;"",U66*(0.00952),"")))</f>
        <v>1100</v>
      </c>
      <c r="W66" s="37">
        <f t="shared" ref="W66:W97" si="13">V66*1.164</f>
        <v>1280.3999999999999</v>
      </c>
      <c r="X66" s="26">
        <v>1900</v>
      </c>
      <c r="Y66" s="31">
        <v>0</v>
      </c>
      <c r="Z66" s="32">
        <f t="shared" si="4"/>
        <v>0</v>
      </c>
      <c r="AA66" s="38">
        <f t="shared" si="5"/>
        <v>2432759.9999999995</v>
      </c>
    </row>
    <row r="67" spans="1:27">
      <c r="A67" s="25">
        <v>66</v>
      </c>
      <c r="B67" s="26" t="s">
        <v>35</v>
      </c>
      <c r="C67" s="26" t="s">
        <v>36</v>
      </c>
      <c r="D67" s="26" t="str">
        <f t="shared" si="10"/>
        <v>Fang Liu</v>
      </c>
      <c r="E67" s="26" t="s">
        <v>69</v>
      </c>
      <c r="F67" s="26" t="s">
        <v>29</v>
      </c>
      <c r="G67" s="26">
        <v>18</v>
      </c>
      <c r="H67" s="26" t="s">
        <v>31</v>
      </c>
      <c r="I67" s="26" t="str">
        <f t="shared" si="11"/>
        <v>Min 18 - Max 28 mph</v>
      </c>
      <c r="J67" s="26">
        <v>25</v>
      </c>
      <c r="K67" s="26" t="s">
        <v>99</v>
      </c>
      <c r="L67" s="26" t="str">
        <f t="shared" si="12"/>
        <v>40233,35 meters</v>
      </c>
      <c r="M67" s="26" t="s">
        <v>43</v>
      </c>
      <c r="N67" s="26" t="s">
        <v>117</v>
      </c>
      <c r="O67" s="26" t="s">
        <v>112</v>
      </c>
      <c r="P67" s="26" t="str">
        <f>IF(Table32[[#This Row],[City]] = " Bengaluru","Asia",IF(Table32[[#This Row],[City]]=" Shanghai", "Asia", "Europe"))</f>
        <v>Asia</v>
      </c>
      <c r="Q67" s="26">
        <v>200001</v>
      </c>
      <c r="R67" s="26" t="s">
        <v>38</v>
      </c>
      <c r="S67" s="26">
        <v>900</v>
      </c>
      <c r="T67" s="28"/>
      <c r="U67" s="26"/>
      <c r="V67" s="33">
        <f>IF(S67&lt;&gt;"",S67,IF(T67&lt;&gt;"",T67*(0.005462),IF(U67&lt;&gt;"",U67*(0.00952),"")))</f>
        <v>900</v>
      </c>
      <c r="W67" s="37">
        <f t="shared" si="13"/>
        <v>1047.5999999999999</v>
      </c>
      <c r="X67" s="26">
        <v>1200</v>
      </c>
      <c r="Y67" s="31">
        <v>0</v>
      </c>
      <c r="Z67" s="32">
        <f t="shared" ref="Z67:Z130" si="14">Y67*0.01</f>
        <v>0</v>
      </c>
      <c r="AA67" s="38">
        <f t="shared" ref="AA67:AA130" si="15">W67*X67*(100%-Z67)</f>
        <v>1257120</v>
      </c>
    </row>
    <row r="68" spans="1:27">
      <c r="A68" s="25">
        <v>67</v>
      </c>
      <c r="B68" s="26" t="s">
        <v>45</v>
      </c>
      <c r="C68" s="26" t="s">
        <v>46</v>
      </c>
      <c r="D68" s="26" t="str">
        <f t="shared" si="10"/>
        <v>Jonas Fischer</v>
      </c>
      <c r="E68" s="26" t="s">
        <v>69</v>
      </c>
      <c r="F68" s="26" t="s">
        <v>16</v>
      </c>
      <c r="G68" s="26">
        <v>15</v>
      </c>
      <c r="H68" s="26" t="s">
        <v>18</v>
      </c>
      <c r="I68" s="26" t="str">
        <f t="shared" si="11"/>
        <v>Min 15 - Max 30 mph</v>
      </c>
      <c r="J68" s="26">
        <v>30</v>
      </c>
      <c r="K68" s="26" t="s">
        <v>99</v>
      </c>
      <c r="L68" s="26" t="str">
        <f t="shared" si="12"/>
        <v>48280,02 meters</v>
      </c>
      <c r="M68" s="26" t="s">
        <v>48</v>
      </c>
      <c r="N68" s="26" t="s">
        <v>124</v>
      </c>
      <c r="O68" s="26" t="s">
        <v>125</v>
      </c>
      <c r="P68" s="26" t="str">
        <f>IF(Table32[[#This Row],[City]] = " Bengaluru","Asia",IF(Table32[[#This Row],[City]]=" Shanghai", "Asia", "Europe"))</f>
        <v>Europe</v>
      </c>
      <c r="Q68" s="26">
        <v>20095</v>
      </c>
      <c r="R68" s="26" t="s">
        <v>49</v>
      </c>
      <c r="S68" s="26">
        <v>1050</v>
      </c>
      <c r="T68" s="28"/>
      <c r="U68" s="26"/>
      <c r="V68" s="33">
        <f>IF(S68&lt;&gt;"",S68,IF(T68&lt;&gt;"",T68*(0.005462),IF(U68&lt;&gt;"",U68*(0.00952),"")))</f>
        <v>1050</v>
      </c>
      <c r="W68" s="37">
        <f t="shared" si="13"/>
        <v>1222.1999999999998</v>
      </c>
      <c r="X68" s="26">
        <v>200</v>
      </c>
      <c r="Y68" s="31">
        <v>0</v>
      </c>
      <c r="Z68" s="32">
        <f t="shared" si="14"/>
        <v>0</v>
      </c>
      <c r="AA68" s="38">
        <f t="shared" si="15"/>
        <v>244439.99999999997</v>
      </c>
    </row>
    <row r="69" spans="1:27">
      <c r="A69" s="25">
        <v>68</v>
      </c>
      <c r="B69" s="26" t="s">
        <v>45</v>
      </c>
      <c r="C69" s="26" t="s">
        <v>46</v>
      </c>
      <c r="D69" s="26" t="str">
        <f t="shared" si="10"/>
        <v>Jonas Fischer</v>
      </c>
      <c r="E69" s="26" t="s">
        <v>69</v>
      </c>
      <c r="F69" s="26" t="s">
        <v>23</v>
      </c>
      <c r="G69" s="26">
        <v>20</v>
      </c>
      <c r="H69" s="26" t="s">
        <v>25</v>
      </c>
      <c r="I69" s="26" t="str">
        <f t="shared" si="11"/>
        <v>Min 20 - Max 35 mph</v>
      </c>
      <c r="J69" s="26">
        <v>64.37</v>
      </c>
      <c r="K69" s="26" t="s">
        <v>115</v>
      </c>
      <c r="L69" s="26" t="str">
        <f t="shared" si="12"/>
        <v>64,37 meters</v>
      </c>
      <c r="M69" s="26" t="s">
        <v>51</v>
      </c>
      <c r="N69" s="26" t="s">
        <v>127</v>
      </c>
      <c r="O69" s="26" t="s">
        <v>125</v>
      </c>
      <c r="P69" s="26" t="str">
        <f>IF(Table32[[#This Row],[City]] = " Bengaluru","Asia",IF(Table32[[#This Row],[City]]=" Shanghai", "Asia", "Europe"))</f>
        <v>Europe</v>
      </c>
      <c r="Q69" s="26">
        <v>20095</v>
      </c>
      <c r="R69" s="26" t="s">
        <v>49</v>
      </c>
      <c r="S69" s="26"/>
      <c r="T69" s="28"/>
      <c r="U69" s="29">
        <v>30000</v>
      </c>
      <c r="V69" s="33">
        <f>IF(S69&lt;&gt;"",S69,IF(T69&lt;&gt;"",T69*(0.005462),IF(U69&lt;&gt;"",U69*(0.00952),"")))</f>
        <v>285.60000000000002</v>
      </c>
      <c r="W69" s="37">
        <f t="shared" si="13"/>
        <v>332.4384</v>
      </c>
      <c r="X69" s="26">
        <v>350</v>
      </c>
      <c r="Y69" s="31">
        <v>0</v>
      </c>
      <c r="Z69" s="32">
        <f t="shared" si="14"/>
        <v>0</v>
      </c>
      <c r="AA69" s="38">
        <f t="shared" si="15"/>
        <v>116353.44</v>
      </c>
    </row>
    <row r="70" spans="1:27">
      <c r="A70" s="25">
        <v>69</v>
      </c>
      <c r="B70" s="26" t="s">
        <v>45</v>
      </c>
      <c r="C70" s="26" t="s">
        <v>46</v>
      </c>
      <c r="D70" s="26" t="str">
        <f t="shared" si="10"/>
        <v>Jonas Fischer</v>
      </c>
      <c r="E70" s="26" t="s">
        <v>69</v>
      </c>
      <c r="F70" s="26" t="s">
        <v>29</v>
      </c>
      <c r="G70" s="26">
        <v>18</v>
      </c>
      <c r="H70" s="26" t="s">
        <v>31</v>
      </c>
      <c r="I70" s="26" t="str">
        <f t="shared" si="11"/>
        <v>Min 18 - Max 28 mph</v>
      </c>
      <c r="J70" s="26">
        <v>40.229999999999997</v>
      </c>
      <c r="K70" s="26" t="s">
        <v>115</v>
      </c>
      <c r="L70" s="26" t="str">
        <f t="shared" si="12"/>
        <v>40,23 meters</v>
      </c>
      <c r="M70" s="26" t="s">
        <v>53</v>
      </c>
      <c r="N70" s="26" t="s">
        <v>128</v>
      </c>
      <c r="O70" s="26" t="s">
        <v>125</v>
      </c>
      <c r="P70" s="26" t="str">
        <f>IF(Table32[[#This Row],[City]] = " Bengaluru","Asia",IF(Table32[[#This Row],[City]]=" Shanghai", "Asia", "Europe"))</f>
        <v>Europe</v>
      </c>
      <c r="Q70" s="26">
        <v>20095</v>
      </c>
      <c r="R70" s="26" t="s">
        <v>49</v>
      </c>
      <c r="S70" s="26"/>
      <c r="T70" s="28"/>
      <c r="U70" s="29">
        <v>25000</v>
      </c>
      <c r="V70" s="33">
        <f>IF(S70&lt;&gt;"",S70,IF(T70&lt;&gt;"",T70*(0.005462),IF(U70&lt;&gt;"",U70*(0.00952),"")))</f>
        <v>238.00000000000003</v>
      </c>
      <c r="W70" s="37">
        <f t="shared" si="13"/>
        <v>277.03200000000004</v>
      </c>
      <c r="X70" s="26">
        <v>250</v>
      </c>
      <c r="Y70" s="31">
        <v>0</v>
      </c>
      <c r="Z70" s="32">
        <f t="shared" si="14"/>
        <v>0</v>
      </c>
      <c r="AA70" s="38">
        <f t="shared" si="15"/>
        <v>69258.000000000015</v>
      </c>
    </row>
    <row r="71" spans="1:27">
      <c r="A71" s="25">
        <v>70</v>
      </c>
      <c r="B71" s="26" t="s">
        <v>55</v>
      </c>
      <c r="C71" s="26" t="s">
        <v>56</v>
      </c>
      <c r="D71" s="26" t="str">
        <f t="shared" si="10"/>
        <v>Théo Bernard</v>
      </c>
      <c r="E71" s="26" t="s">
        <v>69</v>
      </c>
      <c r="F71" s="26" t="s">
        <v>16</v>
      </c>
      <c r="G71" s="26">
        <v>17.515000000000001</v>
      </c>
      <c r="H71" s="26" t="s">
        <v>18</v>
      </c>
      <c r="I71" s="26" t="str">
        <f t="shared" si="11"/>
        <v>Min 17,515 - Max 30 mph</v>
      </c>
      <c r="J71" s="26">
        <v>30</v>
      </c>
      <c r="K71" s="26" t="s">
        <v>99</v>
      </c>
      <c r="L71" s="26" t="str">
        <f t="shared" si="12"/>
        <v>48280,02 meters</v>
      </c>
      <c r="M71" s="26" t="s">
        <v>57</v>
      </c>
      <c r="N71" s="26" t="s">
        <v>130</v>
      </c>
      <c r="O71" s="26" t="s">
        <v>131</v>
      </c>
      <c r="P71" s="26" t="str">
        <f>IF(Table32[[#This Row],[City]] = " Bengaluru","Asia",IF(Table32[[#This Row],[City]]=" Shanghai", "Asia", "Europe"))</f>
        <v>Europe</v>
      </c>
      <c r="Q71" s="26">
        <v>75005</v>
      </c>
      <c r="R71" s="26" t="s">
        <v>58</v>
      </c>
      <c r="S71" s="26"/>
      <c r="T71" s="28"/>
      <c r="U71" s="29">
        <v>22000</v>
      </c>
      <c r="V71" s="33">
        <f>IF(S71&lt;&gt;"",S71,IF(T71&lt;&gt;"",T71*(0.005462),IF(U71&lt;&gt;"",U71*(0.00952),"")))</f>
        <v>209.44000000000003</v>
      </c>
      <c r="W71" s="37">
        <f t="shared" si="13"/>
        <v>243.78816</v>
      </c>
      <c r="X71" s="26">
        <v>150</v>
      </c>
      <c r="Y71" s="31">
        <v>0</v>
      </c>
      <c r="Z71" s="32">
        <f t="shared" si="14"/>
        <v>0</v>
      </c>
      <c r="AA71" s="38">
        <f t="shared" si="15"/>
        <v>36568.224000000002</v>
      </c>
    </row>
    <row r="72" spans="1:27">
      <c r="A72" s="25">
        <v>71</v>
      </c>
      <c r="B72" s="26" t="s">
        <v>55</v>
      </c>
      <c r="C72" s="26" t="s">
        <v>56</v>
      </c>
      <c r="D72" s="26" t="str">
        <f t="shared" si="10"/>
        <v>Théo Bernard</v>
      </c>
      <c r="E72" s="26" t="s">
        <v>69</v>
      </c>
      <c r="F72" s="26" t="s">
        <v>23</v>
      </c>
      <c r="G72" s="26">
        <v>20</v>
      </c>
      <c r="H72" s="26" t="s">
        <v>25</v>
      </c>
      <c r="I72" s="26" t="str">
        <f t="shared" si="11"/>
        <v>Min 20 - Max 35 mph</v>
      </c>
      <c r="J72" s="26">
        <v>40</v>
      </c>
      <c r="K72" s="26" t="s">
        <v>99</v>
      </c>
      <c r="L72" s="26" t="str">
        <f t="shared" si="12"/>
        <v>64373,36 meters</v>
      </c>
      <c r="M72" s="26" t="s">
        <v>61</v>
      </c>
      <c r="N72" s="26" t="s">
        <v>132</v>
      </c>
      <c r="O72" s="26" t="s">
        <v>131</v>
      </c>
      <c r="P72" s="26" t="str">
        <f>IF(Table32[[#This Row],[City]] = " Bengaluru","Asia",IF(Table32[[#This Row],[City]]=" Shanghai", "Asia", "Europe"))</f>
        <v>Europe</v>
      </c>
      <c r="Q72" s="26">
        <v>75005</v>
      </c>
      <c r="R72" s="26" t="s">
        <v>58</v>
      </c>
      <c r="S72" s="26"/>
      <c r="T72" s="28">
        <v>5000</v>
      </c>
      <c r="U72" s="26"/>
      <c r="V72" s="33">
        <f>IF(S72&lt;&gt;"",S72,IF(T72&lt;&gt;"",T72*(0.005462),IF(U72&lt;&gt;"",U72*(0.00952),"")))</f>
        <v>27.31</v>
      </c>
      <c r="W72" s="37">
        <f t="shared" si="13"/>
        <v>31.788839999999997</v>
      </c>
      <c r="X72" s="26">
        <v>350</v>
      </c>
      <c r="Y72" s="31">
        <v>0</v>
      </c>
      <c r="Z72" s="32">
        <f t="shared" si="14"/>
        <v>0</v>
      </c>
      <c r="AA72" s="38">
        <f t="shared" si="15"/>
        <v>11126.093999999999</v>
      </c>
    </row>
    <row r="73" spans="1:27">
      <c r="A73" s="25">
        <v>72</v>
      </c>
      <c r="B73" s="26" t="s">
        <v>55</v>
      </c>
      <c r="C73" s="26" t="s">
        <v>56</v>
      </c>
      <c r="D73" s="26" t="str">
        <f t="shared" si="10"/>
        <v>Théo Bernard</v>
      </c>
      <c r="E73" s="26" t="s">
        <v>69</v>
      </c>
      <c r="F73" s="26" t="s">
        <v>29</v>
      </c>
      <c r="G73" s="26">
        <v>18</v>
      </c>
      <c r="H73" s="26" t="s">
        <v>31</v>
      </c>
      <c r="I73" s="26" t="str">
        <f t="shared" si="11"/>
        <v>Min 18 - Max 28 mph</v>
      </c>
      <c r="J73" s="26">
        <v>25</v>
      </c>
      <c r="K73" s="26" t="s">
        <v>99</v>
      </c>
      <c r="L73" s="26" t="str">
        <f t="shared" si="12"/>
        <v>40233,35 meters</v>
      </c>
      <c r="M73" s="26" t="s">
        <v>63</v>
      </c>
      <c r="N73" s="26" t="s">
        <v>133</v>
      </c>
      <c r="O73" s="26" t="s">
        <v>131</v>
      </c>
      <c r="P73" s="26" t="str">
        <f>IF(Table32[[#This Row],[City]] = " Bengaluru","Asia",IF(Table32[[#This Row],[City]]=" Shanghai", "Asia", "Europe"))</f>
        <v>Europe</v>
      </c>
      <c r="Q73" s="26">
        <v>75005</v>
      </c>
      <c r="R73" s="26" t="s">
        <v>58</v>
      </c>
      <c r="S73" s="26"/>
      <c r="T73" s="28">
        <v>3500</v>
      </c>
      <c r="U73" s="26"/>
      <c r="V73" s="33">
        <f>IF(S73&lt;&gt;"",S73,IF(T73&lt;&gt;"",T73*(0.005462),IF(U73&lt;&gt;"",U73*(0.00952),"")))</f>
        <v>19.117000000000001</v>
      </c>
      <c r="W73" s="37">
        <f t="shared" si="13"/>
        <v>22.252188</v>
      </c>
      <c r="X73" s="26">
        <v>300</v>
      </c>
      <c r="Y73" s="31">
        <v>0</v>
      </c>
      <c r="Z73" s="32">
        <f t="shared" si="14"/>
        <v>0</v>
      </c>
      <c r="AA73" s="38">
        <f t="shared" si="15"/>
        <v>6675.6563999999998</v>
      </c>
    </row>
    <row r="74" spans="1:27">
      <c r="A74" s="25">
        <v>73</v>
      </c>
      <c r="B74" s="26" t="s">
        <v>13</v>
      </c>
      <c r="C74" s="26" t="s">
        <v>14</v>
      </c>
      <c r="D74" s="26" t="str">
        <f t="shared" si="10"/>
        <v>Sanya Joshi</v>
      </c>
      <c r="E74" s="26" t="s">
        <v>70</v>
      </c>
      <c r="F74" s="26" t="s">
        <v>16</v>
      </c>
      <c r="G74" s="26">
        <v>15</v>
      </c>
      <c r="H74" s="26" t="s">
        <v>18</v>
      </c>
      <c r="I74" s="26" t="str">
        <f t="shared" si="11"/>
        <v>Min 15 - Max 30 mph</v>
      </c>
      <c r="J74" s="26">
        <v>30</v>
      </c>
      <c r="K74" s="26" t="s">
        <v>99</v>
      </c>
      <c r="L74" s="26" t="str">
        <f t="shared" si="12"/>
        <v>48280,02 meters</v>
      </c>
      <c r="M74" s="26" t="s">
        <v>20</v>
      </c>
      <c r="N74" s="26" t="s">
        <v>101</v>
      </c>
      <c r="O74" s="26" t="s">
        <v>102</v>
      </c>
      <c r="P74" s="26" t="str">
        <f>IF(Table32[[#This Row],[City]] = " Bengaluru","Asia",IF(Table32[[#This Row],[City]]=" Shanghai", "Asia", "Europe"))</f>
        <v>Asia</v>
      </c>
      <c r="Q74" s="26">
        <v>560001</v>
      </c>
      <c r="R74" s="26" t="s">
        <v>21</v>
      </c>
      <c r="S74" s="26"/>
      <c r="T74" s="28">
        <v>4200</v>
      </c>
      <c r="U74" s="26"/>
      <c r="V74" s="33">
        <f>IF(S74&lt;&gt;"",S74,IF(T74&lt;&gt;"",T74*(0.005462),IF(U74&lt;&gt;"",U74*(0.00952),"")))</f>
        <v>22.9404</v>
      </c>
      <c r="W74" s="37">
        <f t="shared" si="13"/>
        <v>26.702625599999998</v>
      </c>
      <c r="X74" s="26">
        <v>250</v>
      </c>
      <c r="Y74" s="31">
        <v>0</v>
      </c>
      <c r="Z74" s="32">
        <f t="shared" si="14"/>
        <v>0</v>
      </c>
      <c r="AA74" s="38">
        <f t="shared" si="15"/>
        <v>6675.6563999999989</v>
      </c>
    </row>
    <row r="75" spans="1:27">
      <c r="A75" s="25">
        <v>74</v>
      </c>
      <c r="B75" s="26" t="s">
        <v>13</v>
      </c>
      <c r="C75" s="26" t="s">
        <v>14</v>
      </c>
      <c r="D75" s="26" t="str">
        <f t="shared" si="10"/>
        <v>Sanya Joshi</v>
      </c>
      <c r="E75" s="26" t="s">
        <v>70</v>
      </c>
      <c r="F75" s="26" t="s">
        <v>23</v>
      </c>
      <c r="G75" s="26">
        <v>20</v>
      </c>
      <c r="H75" s="26" t="s">
        <v>25</v>
      </c>
      <c r="I75" s="26" t="str">
        <f t="shared" si="11"/>
        <v>Min 20 - Max 35 mph</v>
      </c>
      <c r="J75" s="26">
        <v>40</v>
      </c>
      <c r="K75" s="26" t="s">
        <v>99</v>
      </c>
      <c r="L75" s="26" t="str">
        <f t="shared" si="12"/>
        <v>64373,36 meters</v>
      </c>
      <c r="M75" s="26" t="s">
        <v>27</v>
      </c>
      <c r="N75" s="26" t="s">
        <v>106</v>
      </c>
      <c r="O75" s="26" t="s">
        <v>102</v>
      </c>
      <c r="P75" s="26" t="str">
        <f>IF(Table32[[#This Row],[City]] = " Bengaluru","Asia",IF(Table32[[#This Row],[City]]=" Shanghai", "Asia", "Europe"))</f>
        <v>Asia</v>
      </c>
      <c r="Q75" s="26">
        <v>560001</v>
      </c>
      <c r="R75" s="26" t="s">
        <v>21</v>
      </c>
      <c r="S75" s="26">
        <v>1000</v>
      </c>
      <c r="T75" s="28"/>
      <c r="U75" s="26"/>
      <c r="V75" s="33">
        <f>IF(S75&lt;&gt;"",S75,IF(T75&lt;&gt;"",T75*(0.005462),IF(U75&lt;&gt;"",U75*(0.00952),"")))</f>
        <v>1000</v>
      </c>
      <c r="W75" s="37">
        <f t="shared" si="13"/>
        <v>1164</v>
      </c>
      <c r="X75" s="26">
        <v>500</v>
      </c>
      <c r="Y75" s="31">
        <v>0</v>
      </c>
      <c r="Z75" s="32">
        <f t="shared" si="14"/>
        <v>0</v>
      </c>
      <c r="AA75" s="38">
        <f t="shared" si="15"/>
        <v>582000</v>
      </c>
    </row>
    <row r="76" spans="1:27">
      <c r="A76" s="25">
        <v>75</v>
      </c>
      <c r="B76" s="26" t="s">
        <v>13</v>
      </c>
      <c r="C76" s="26" t="s">
        <v>14</v>
      </c>
      <c r="D76" s="26" t="str">
        <f t="shared" si="10"/>
        <v>Sanya Joshi</v>
      </c>
      <c r="E76" s="26" t="s">
        <v>70</v>
      </c>
      <c r="F76" s="26" t="s">
        <v>29</v>
      </c>
      <c r="G76" s="26">
        <v>18</v>
      </c>
      <c r="H76" s="26" t="s">
        <v>31</v>
      </c>
      <c r="I76" s="26" t="str">
        <f t="shared" si="11"/>
        <v>Min 18 - Max 28 mph</v>
      </c>
      <c r="J76" s="26">
        <v>25</v>
      </c>
      <c r="K76" s="26" t="s">
        <v>99</v>
      </c>
      <c r="L76" s="26" t="str">
        <f t="shared" si="12"/>
        <v>40233,35 meters</v>
      </c>
      <c r="M76" s="26" t="s">
        <v>33</v>
      </c>
      <c r="N76" s="26" t="s">
        <v>109</v>
      </c>
      <c r="O76" s="26" t="s">
        <v>102</v>
      </c>
      <c r="P76" s="26" t="str">
        <f>IF(Table32[[#This Row],[City]] = " Bengaluru","Asia",IF(Table32[[#This Row],[City]]=" Shanghai", "Asia", "Europe"))</f>
        <v>Asia</v>
      </c>
      <c r="Q76" s="26">
        <v>560001</v>
      </c>
      <c r="R76" s="26" t="s">
        <v>21</v>
      </c>
      <c r="S76" s="26">
        <v>800</v>
      </c>
      <c r="T76" s="28"/>
      <c r="U76" s="26"/>
      <c r="V76" s="33">
        <f>IF(S76&lt;&gt;"",S76,IF(T76&lt;&gt;"",T76*(0.005462),IF(U76&lt;&gt;"",U76*(0.00952),"")))</f>
        <v>800</v>
      </c>
      <c r="W76" s="37">
        <f t="shared" si="13"/>
        <v>931.19999999999993</v>
      </c>
      <c r="X76" s="26">
        <v>400</v>
      </c>
      <c r="Y76" s="31">
        <v>0</v>
      </c>
      <c r="Z76" s="32">
        <f>Y76*0.01</f>
        <v>0</v>
      </c>
      <c r="AA76" s="38">
        <f t="shared" si="15"/>
        <v>372480</v>
      </c>
    </row>
    <row r="77" spans="1:27">
      <c r="A77" s="25">
        <v>76</v>
      </c>
      <c r="B77" s="26" t="s">
        <v>35</v>
      </c>
      <c r="C77" s="26" t="s">
        <v>36</v>
      </c>
      <c r="D77" s="26" t="str">
        <f t="shared" si="10"/>
        <v>Fang Liu</v>
      </c>
      <c r="E77" s="26" t="s">
        <v>70</v>
      </c>
      <c r="F77" s="26" t="s">
        <v>16</v>
      </c>
      <c r="G77" s="26">
        <v>15</v>
      </c>
      <c r="H77" s="26" t="s">
        <v>18</v>
      </c>
      <c r="I77" s="26" t="str">
        <f t="shared" si="11"/>
        <v>Min 15 - Max 30 mph</v>
      </c>
      <c r="J77" s="26">
        <v>48.28</v>
      </c>
      <c r="K77" s="26" t="s">
        <v>115</v>
      </c>
      <c r="L77" s="26" t="str">
        <f t="shared" si="12"/>
        <v>48,28 meters</v>
      </c>
      <c r="M77" s="26" t="s">
        <v>37</v>
      </c>
      <c r="N77" s="26" t="s">
        <v>111</v>
      </c>
      <c r="O77" s="26" t="s">
        <v>112</v>
      </c>
      <c r="P77" s="26" t="str">
        <f>IF(Table32[[#This Row],[City]] = " Bengaluru","Asia",IF(Table32[[#This Row],[City]]=" Shanghai", "Asia", "Europe"))</f>
        <v>Asia</v>
      </c>
      <c r="Q77" s="26">
        <v>200001</v>
      </c>
      <c r="R77" s="26" t="s">
        <v>38</v>
      </c>
      <c r="S77" s="26">
        <v>950</v>
      </c>
      <c r="T77" s="28"/>
      <c r="U77" s="26"/>
      <c r="V77" s="33">
        <f>IF(S77&lt;&gt;"",S77,IF(T77&lt;&gt;"",T77*(0.005462),IF(U77&lt;&gt;"",U77*(0.00952),"")))</f>
        <v>950</v>
      </c>
      <c r="W77" s="37">
        <f t="shared" si="13"/>
        <v>1105.8</v>
      </c>
      <c r="X77" s="26">
        <v>800</v>
      </c>
      <c r="Y77" s="31">
        <v>0</v>
      </c>
      <c r="Z77" s="32">
        <f t="shared" si="14"/>
        <v>0</v>
      </c>
      <c r="AA77" s="38">
        <f t="shared" si="15"/>
        <v>884640</v>
      </c>
    </row>
    <row r="78" spans="1:27">
      <c r="A78" s="25">
        <v>77</v>
      </c>
      <c r="B78" s="26" t="s">
        <v>35</v>
      </c>
      <c r="C78" s="26" t="s">
        <v>36</v>
      </c>
      <c r="D78" s="26" t="str">
        <f t="shared" si="10"/>
        <v>Fang Liu</v>
      </c>
      <c r="E78" s="26" t="s">
        <v>70</v>
      </c>
      <c r="F78" s="26" t="s">
        <v>23</v>
      </c>
      <c r="G78" s="26">
        <v>20</v>
      </c>
      <c r="H78" s="26" t="s">
        <v>25</v>
      </c>
      <c r="I78" s="26" t="str">
        <f t="shared" si="11"/>
        <v>Min 20 - Max 35 mph</v>
      </c>
      <c r="J78" s="26">
        <v>40</v>
      </c>
      <c r="K78" s="26" t="s">
        <v>99</v>
      </c>
      <c r="L78" s="26" t="str">
        <f t="shared" si="12"/>
        <v>64373,36 meters</v>
      </c>
      <c r="M78" s="26" t="s">
        <v>40</v>
      </c>
      <c r="N78" s="26" t="s">
        <v>113</v>
      </c>
      <c r="O78" s="26" t="s">
        <v>112</v>
      </c>
      <c r="P78" s="26" t="str">
        <f>IF(Table32[[#This Row],[City]] = " Bengaluru","Asia",IF(Table32[[#This Row],[City]]=" Shanghai", "Asia", "Europe"))</f>
        <v>Asia</v>
      </c>
      <c r="Q78" s="26">
        <v>200001</v>
      </c>
      <c r="R78" s="26" t="s">
        <v>38</v>
      </c>
      <c r="S78" s="26">
        <v>1100</v>
      </c>
      <c r="T78" s="28"/>
      <c r="U78" s="26"/>
      <c r="V78" s="33">
        <f>IF(S78&lt;&gt;"",S78,IF(T78&lt;&gt;"",T78*(0.005462),IF(U78&lt;&gt;"",U78*(0.00952),"")))</f>
        <v>1100</v>
      </c>
      <c r="W78" s="37">
        <f t="shared" si="13"/>
        <v>1280.3999999999999</v>
      </c>
      <c r="X78" s="26">
        <v>1800</v>
      </c>
      <c r="Y78" s="31">
        <v>0</v>
      </c>
      <c r="Z78" s="32">
        <f t="shared" si="14"/>
        <v>0</v>
      </c>
      <c r="AA78" s="38">
        <f t="shared" si="15"/>
        <v>2304719.9999999995</v>
      </c>
    </row>
    <row r="79" spans="1:27">
      <c r="A79" s="25">
        <v>78</v>
      </c>
      <c r="B79" s="26" t="s">
        <v>35</v>
      </c>
      <c r="C79" s="26" t="s">
        <v>36</v>
      </c>
      <c r="D79" s="26" t="str">
        <f t="shared" si="10"/>
        <v>Fang Liu</v>
      </c>
      <c r="E79" s="26" t="s">
        <v>70</v>
      </c>
      <c r="F79" s="26" t="s">
        <v>29</v>
      </c>
      <c r="G79" s="26">
        <v>18</v>
      </c>
      <c r="H79" s="26" t="s">
        <v>31</v>
      </c>
      <c r="I79" s="26" t="str">
        <f t="shared" si="11"/>
        <v>Min 18 - Max 28 mph</v>
      </c>
      <c r="J79" s="26">
        <v>25</v>
      </c>
      <c r="K79" s="26" t="s">
        <v>99</v>
      </c>
      <c r="L79" s="26" t="str">
        <f t="shared" si="12"/>
        <v>40233,35 meters</v>
      </c>
      <c r="M79" s="26" t="s">
        <v>43</v>
      </c>
      <c r="N79" s="26" t="s">
        <v>117</v>
      </c>
      <c r="O79" s="26" t="s">
        <v>112</v>
      </c>
      <c r="P79" s="26" t="str">
        <f>IF(Table32[[#This Row],[City]] = " Bengaluru","Asia",IF(Table32[[#This Row],[City]]=" Shanghai", "Asia", "Europe"))</f>
        <v>Asia</v>
      </c>
      <c r="Q79" s="26">
        <v>200001</v>
      </c>
      <c r="R79" s="26" t="s">
        <v>38</v>
      </c>
      <c r="S79" s="26">
        <v>1100</v>
      </c>
      <c r="T79" s="28"/>
      <c r="U79" s="26"/>
      <c r="V79" s="33">
        <f>IF(S79&lt;&gt;"",S79,IF(T79&lt;&gt;"",T79*(0.005462),IF(U79&lt;&gt;"",U79*(0.00952),"")))</f>
        <v>1100</v>
      </c>
      <c r="W79" s="37">
        <f t="shared" si="13"/>
        <v>1280.3999999999999</v>
      </c>
      <c r="X79" s="26">
        <v>1200</v>
      </c>
      <c r="Y79" s="31">
        <v>0</v>
      </c>
      <c r="Z79" s="32">
        <f t="shared" si="14"/>
        <v>0</v>
      </c>
      <c r="AA79" s="38">
        <f t="shared" si="15"/>
        <v>1536479.9999999998</v>
      </c>
    </row>
    <row r="80" spans="1:27">
      <c r="A80" s="25">
        <v>79</v>
      </c>
      <c r="B80" s="26" t="s">
        <v>45</v>
      </c>
      <c r="C80" s="26" t="s">
        <v>46</v>
      </c>
      <c r="D80" s="26" t="str">
        <f t="shared" si="10"/>
        <v>Jonas Fischer</v>
      </c>
      <c r="E80" s="26" t="s">
        <v>70</v>
      </c>
      <c r="F80" s="26" t="s">
        <v>16</v>
      </c>
      <c r="G80" s="26">
        <v>15</v>
      </c>
      <c r="H80" s="26" t="s">
        <v>18</v>
      </c>
      <c r="I80" s="26" t="str">
        <f t="shared" si="11"/>
        <v>Min 15 - Max 30 mph</v>
      </c>
      <c r="J80" s="26">
        <v>30</v>
      </c>
      <c r="K80" s="26" t="s">
        <v>99</v>
      </c>
      <c r="L80" s="26" t="str">
        <f t="shared" si="12"/>
        <v>48280,02 meters</v>
      </c>
      <c r="M80" s="26" t="s">
        <v>48</v>
      </c>
      <c r="N80" s="26" t="s">
        <v>124</v>
      </c>
      <c r="O80" s="26" t="s">
        <v>125</v>
      </c>
      <c r="P80" s="26" t="str">
        <f>IF(Table32[[#This Row],[City]] = " Bengaluru","Asia",IF(Table32[[#This Row],[City]]=" Shanghai", "Asia", "Europe"))</f>
        <v>Europe</v>
      </c>
      <c r="Q80" s="26">
        <v>20095</v>
      </c>
      <c r="R80" s="26" t="s">
        <v>49</v>
      </c>
      <c r="S80" s="26">
        <v>900</v>
      </c>
      <c r="T80" s="28"/>
      <c r="U80" s="26"/>
      <c r="V80" s="33">
        <f>IF(S80&lt;&gt;"",S80,IF(T80&lt;&gt;"",T80*(0.005462),IF(U80&lt;&gt;"",U80*(0.00952),"")))</f>
        <v>900</v>
      </c>
      <c r="W80" s="37">
        <f t="shared" si="13"/>
        <v>1047.5999999999999</v>
      </c>
      <c r="X80" s="26">
        <v>200</v>
      </c>
      <c r="Y80" s="31">
        <v>0</v>
      </c>
      <c r="Z80" s="32">
        <f t="shared" si="14"/>
        <v>0</v>
      </c>
      <c r="AA80" s="38">
        <f t="shared" si="15"/>
        <v>209519.99999999997</v>
      </c>
    </row>
    <row r="81" spans="1:27">
      <c r="A81" s="25">
        <v>80</v>
      </c>
      <c r="B81" s="26" t="s">
        <v>45</v>
      </c>
      <c r="C81" s="26" t="s">
        <v>46</v>
      </c>
      <c r="D81" s="26" t="str">
        <f t="shared" si="10"/>
        <v>Jonas Fischer</v>
      </c>
      <c r="E81" s="26" t="s">
        <v>70</v>
      </c>
      <c r="F81" s="26" t="s">
        <v>23</v>
      </c>
      <c r="G81" s="26">
        <v>20</v>
      </c>
      <c r="H81" s="26" t="s">
        <v>25</v>
      </c>
      <c r="I81" s="26" t="str">
        <f t="shared" si="11"/>
        <v>Min 20 - Max 35 mph</v>
      </c>
      <c r="J81" s="26">
        <v>40</v>
      </c>
      <c r="K81" s="26" t="s">
        <v>99</v>
      </c>
      <c r="L81" s="26" t="str">
        <f t="shared" si="12"/>
        <v>64373,36 meters</v>
      </c>
      <c r="M81" s="26" t="s">
        <v>51</v>
      </c>
      <c r="N81" s="26" t="s">
        <v>127</v>
      </c>
      <c r="O81" s="26" t="s">
        <v>125</v>
      </c>
      <c r="P81" s="26" t="str">
        <f>IF(Table32[[#This Row],[City]] = " Bengaluru","Asia",IF(Table32[[#This Row],[City]]=" Shanghai", "Asia", "Europe"))</f>
        <v>Europe</v>
      </c>
      <c r="Q81" s="26">
        <v>20095</v>
      </c>
      <c r="R81" s="26" t="s">
        <v>49</v>
      </c>
      <c r="S81" s="26">
        <v>1050</v>
      </c>
      <c r="T81" s="28"/>
      <c r="U81" s="26"/>
      <c r="V81" s="33">
        <f>IF(S81&lt;&gt;"",S81,IF(T81&lt;&gt;"",T81*(0.005462),IF(U81&lt;&gt;"",U81*(0.00952),"")))</f>
        <v>1050</v>
      </c>
      <c r="W81" s="37">
        <f t="shared" si="13"/>
        <v>1222.1999999999998</v>
      </c>
      <c r="X81" s="26">
        <v>350</v>
      </c>
      <c r="Y81" s="31">
        <v>0</v>
      </c>
      <c r="Z81" s="32">
        <f t="shared" si="14"/>
        <v>0</v>
      </c>
      <c r="AA81" s="38">
        <f t="shared" si="15"/>
        <v>427769.99999999994</v>
      </c>
    </row>
    <row r="82" spans="1:27">
      <c r="A82" s="25">
        <v>81</v>
      </c>
      <c r="B82" s="26" t="s">
        <v>45</v>
      </c>
      <c r="C82" s="26" t="s">
        <v>46</v>
      </c>
      <c r="D82" s="26" t="str">
        <f t="shared" si="10"/>
        <v>Jonas Fischer</v>
      </c>
      <c r="E82" s="26" t="s">
        <v>70</v>
      </c>
      <c r="F82" s="26" t="s">
        <v>29</v>
      </c>
      <c r="G82" s="26">
        <v>18</v>
      </c>
      <c r="H82" s="26" t="s">
        <v>31</v>
      </c>
      <c r="I82" s="26" t="str">
        <f t="shared" si="11"/>
        <v>Min 18 - Max 28 mph</v>
      </c>
      <c r="J82" s="26">
        <v>25</v>
      </c>
      <c r="K82" s="26" t="s">
        <v>99</v>
      </c>
      <c r="L82" s="26" t="str">
        <f t="shared" si="12"/>
        <v>40233,35 meters</v>
      </c>
      <c r="M82" s="26" t="s">
        <v>53</v>
      </c>
      <c r="N82" s="26" t="s">
        <v>128</v>
      </c>
      <c r="O82" s="26" t="s">
        <v>125</v>
      </c>
      <c r="P82" s="26" t="str">
        <f>IF(Table32[[#This Row],[City]] = " Bengaluru","Asia",IF(Table32[[#This Row],[City]]=" Shanghai", "Asia", "Europe"))</f>
        <v>Europe</v>
      </c>
      <c r="Q82" s="26">
        <v>20095</v>
      </c>
      <c r="R82" s="26" t="s">
        <v>49</v>
      </c>
      <c r="S82" s="26">
        <v>1050</v>
      </c>
      <c r="T82" s="28"/>
      <c r="U82" s="26"/>
      <c r="V82" s="33">
        <f>IF(S82&lt;&gt;"",S82,IF(T82&lt;&gt;"",T82*(0.005462),IF(U82&lt;&gt;"",U82*(0.00952),"")))</f>
        <v>1050</v>
      </c>
      <c r="W82" s="37">
        <f t="shared" si="13"/>
        <v>1222.1999999999998</v>
      </c>
      <c r="X82" s="26">
        <v>250</v>
      </c>
      <c r="Y82" s="31">
        <v>0</v>
      </c>
      <c r="Z82" s="32">
        <f t="shared" si="14"/>
        <v>0</v>
      </c>
      <c r="AA82" s="38">
        <f t="shared" si="15"/>
        <v>305549.99999999994</v>
      </c>
    </row>
    <row r="83" spans="1:27">
      <c r="A83" s="25">
        <v>82</v>
      </c>
      <c r="B83" s="26" t="s">
        <v>55</v>
      </c>
      <c r="C83" s="26" t="s">
        <v>56</v>
      </c>
      <c r="D83" s="26" t="str">
        <f t="shared" si="10"/>
        <v>Théo Bernard</v>
      </c>
      <c r="E83" s="26" t="s">
        <v>70</v>
      </c>
      <c r="F83" s="26" t="s">
        <v>16</v>
      </c>
      <c r="G83" s="26">
        <v>15</v>
      </c>
      <c r="H83" s="26" t="s">
        <v>18</v>
      </c>
      <c r="I83" s="26" t="str">
        <f t="shared" si="11"/>
        <v>Min 15 - Max 30 mph</v>
      </c>
      <c r="J83" s="26">
        <v>30</v>
      </c>
      <c r="K83" s="26" t="s">
        <v>99</v>
      </c>
      <c r="L83" s="26" t="str">
        <f t="shared" si="12"/>
        <v>48280,02 meters</v>
      </c>
      <c r="M83" s="26" t="s">
        <v>57</v>
      </c>
      <c r="N83" s="26" t="s">
        <v>130</v>
      </c>
      <c r="O83" s="26" t="s">
        <v>131</v>
      </c>
      <c r="P83" s="26" t="str">
        <f>IF(Table32[[#This Row],[City]] = " Bengaluru","Asia",IF(Table32[[#This Row],[City]]=" Shanghai", "Asia", "Europe"))</f>
        <v>Europe</v>
      </c>
      <c r="Q83" s="26">
        <v>75005</v>
      </c>
      <c r="R83" s="26" t="s">
        <v>58</v>
      </c>
      <c r="S83" s="26"/>
      <c r="T83" s="28"/>
      <c r="U83" s="29">
        <v>30000</v>
      </c>
      <c r="V83" s="33">
        <f>IF(S83&lt;&gt;"",S83,IF(T83&lt;&gt;"",T83*(0.005462),IF(U83&lt;&gt;"",U83*(0.00952),"")))</f>
        <v>285.60000000000002</v>
      </c>
      <c r="W83" s="37">
        <f t="shared" si="13"/>
        <v>332.4384</v>
      </c>
      <c r="X83" s="26">
        <v>160</v>
      </c>
      <c r="Y83" s="31">
        <v>0</v>
      </c>
      <c r="Z83" s="32">
        <f t="shared" si="14"/>
        <v>0</v>
      </c>
      <c r="AA83" s="38">
        <f t="shared" si="15"/>
        <v>53190.144</v>
      </c>
    </row>
    <row r="84" spans="1:27">
      <c r="A84" s="25">
        <v>83</v>
      </c>
      <c r="B84" s="26" t="s">
        <v>55</v>
      </c>
      <c r="C84" s="26" t="s">
        <v>56</v>
      </c>
      <c r="D84" s="26" t="str">
        <f t="shared" si="10"/>
        <v>Théo Bernard</v>
      </c>
      <c r="E84" s="26" t="s">
        <v>70</v>
      </c>
      <c r="F84" s="26" t="s">
        <v>23</v>
      </c>
      <c r="G84" s="26">
        <v>20</v>
      </c>
      <c r="H84" s="26" t="s">
        <v>25</v>
      </c>
      <c r="I84" s="26" t="str">
        <f t="shared" si="11"/>
        <v>Min 20 - Max 35 mph</v>
      </c>
      <c r="J84" s="26">
        <v>40</v>
      </c>
      <c r="K84" s="26" t="s">
        <v>99</v>
      </c>
      <c r="L84" s="26" t="str">
        <f t="shared" si="12"/>
        <v>64373,36 meters</v>
      </c>
      <c r="M84" s="26" t="s">
        <v>61</v>
      </c>
      <c r="N84" s="26" t="s">
        <v>132</v>
      </c>
      <c r="O84" s="26" t="s">
        <v>131</v>
      </c>
      <c r="P84" s="26" t="str">
        <f>IF(Table32[[#This Row],[City]] = " Bengaluru","Asia",IF(Table32[[#This Row],[City]]=" Shanghai", "Asia", "Europe"))</f>
        <v>Europe</v>
      </c>
      <c r="Q84" s="26">
        <v>75005</v>
      </c>
      <c r="R84" s="26" t="s">
        <v>58</v>
      </c>
      <c r="S84" s="26"/>
      <c r="T84" s="28"/>
      <c r="U84" s="29">
        <v>25000</v>
      </c>
      <c r="V84" s="33">
        <f>IF(S84&lt;&gt;"",S84,IF(T84&lt;&gt;"",T84*(0.005462),IF(U84&lt;&gt;"",U84*(0.00952),"")))</f>
        <v>238.00000000000003</v>
      </c>
      <c r="W84" s="37">
        <f t="shared" si="13"/>
        <v>277.03200000000004</v>
      </c>
      <c r="X84" s="26">
        <v>320</v>
      </c>
      <c r="Y84" s="31">
        <v>0</v>
      </c>
      <c r="Z84" s="32">
        <f t="shared" si="14"/>
        <v>0</v>
      </c>
      <c r="AA84" s="38">
        <f t="shared" si="15"/>
        <v>88650.24000000002</v>
      </c>
    </row>
    <row r="85" spans="1:27">
      <c r="A85" s="25">
        <v>84</v>
      </c>
      <c r="B85" s="26" t="s">
        <v>55</v>
      </c>
      <c r="C85" s="26" t="s">
        <v>56</v>
      </c>
      <c r="D85" s="26" t="str">
        <f t="shared" si="10"/>
        <v>Théo Bernard</v>
      </c>
      <c r="E85" s="26" t="s">
        <v>70</v>
      </c>
      <c r="F85" s="26" t="s">
        <v>29</v>
      </c>
      <c r="G85" s="26">
        <v>18</v>
      </c>
      <c r="H85" s="26" t="s">
        <v>31</v>
      </c>
      <c r="I85" s="26" t="str">
        <f t="shared" si="11"/>
        <v>Min 18 - Max 28 mph</v>
      </c>
      <c r="J85" s="26">
        <v>25</v>
      </c>
      <c r="K85" s="26" t="s">
        <v>99</v>
      </c>
      <c r="L85" s="26" t="str">
        <f t="shared" si="12"/>
        <v>40233,35 meters</v>
      </c>
      <c r="M85" s="26" t="s">
        <v>63</v>
      </c>
      <c r="N85" s="26" t="s">
        <v>133</v>
      </c>
      <c r="O85" s="26" t="s">
        <v>131</v>
      </c>
      <c r="P85" s="26" t="str">
        <f>IF(Table32[[#This Row],[City]] = " Bengaluru","Asia",IF(Table32[[#This Row],[City]]=" Shanghai", "Asia", "Europe"))</f>
        <v>Europe</v>
      </c>
      <c r="Q85" s="26">
        <v>75005</v>
      </c>
      <c r="R85" s="26" t="s">
        <v>58</v>
      </c>
      <c r="S85" s="26"/>
      <c r="T85" s="28"/>
      <c r="U85" s="29">
        <v>22000</v>
      </c>
      <c r="V85" s="33">
        <f>IF(S85&lt;&gt;"",S85,IF(T85&lt;&gt;"",T85*(0.005462),IF(U85&lt;&gt;"",U85*(0.00952),"")))</f>
        <v>209.44000000000003</v>
      </c>
      <c r="W85" s="37">
        <f t="shared" si="13"/>
        <v>243.78816</v>
      </c>
      <c r="X85" s="26">
        <v>300</v>
      </c>
      <c r="Y85" s="31">
        <v>0</v>
      </c>
      <c r="Z85" s="32">
        <f t="shared" si="14"/>
        <v>0</v>
      </c>
      <c r="AA85" s="38">
        <f t="shared" si="15"/>
        <v>73136.448000000004</v>
      </c>
    </row>
    <row r="86" spans="1:27">
      <c r="A86" s="25">
        <v>85</v>
      </c>
      <c r="B86" s="26" t="s">
        <v>13</v>
      </c>
      <c r="C86" s="26" t="s">
        <v>14</v>
      </c>
      <c r="D86" s="26" t="str">
        <f t="shared" si="10"/>
        <v>Sanya Joshi</v>
      </c>
      <c r="E86" s="26" t="s">
        <v>71</v>
      </c>
      <c r="F86" s="26" t="s">
        <v>16</v>
      </c>
      <c r="G86" s="26">
        <v>15</v>
      </c>
      <c r="H86" s="26" t="s">
        <v>18</v>
      </c>
      <c r="I86" s="26" t="str">
        <f t="shared" si="11"/>
        <v>Min 15 - Max 30 mph</v>
      </c>
      <c r="J86" s="26">
        <v>30</v>
      </c>
      <c r="K86" s="26" t="s">
        <v>99</v>
      </c>
      <c r="L86" s="26" t="str">
        <f t="shared" si="12"/>
        <v>48280,02 meters</v>
      </c>
      <c r="M86" s="26" t="s">
        <v>20</v>
      </c>
      <c r="N86" s="26" t="s">
        <v>101</v>
      </c>
      <c r="O86" s="26" t="s">
        <v>102</v>
      </c>
      <c r="P86" s="26" t="str">
        <f>IF(Table32[[#This Row],[City]] = " Bengaluru","Asia",IF(Table32[[#This Row],[City]]=" Shanghai", "Asia", "Europe"))</f>
        <v>Asia</v>
      </c>
      <c r="Q86" s="26">
        <v>560001</v>
      </c>
      <c r="R86" s="26" t="s">
        <v>21</v>
      </c>
      <c r="S86" s="26"/>
      <c r="T86" s="28">
        <v>5000</v>
      </c>
      <c r="U86" s="26"/>
      <c r="V86" s="33">
        <f>IF(S86&lt;&gt;"",S86,IF(T86&lt;&gt;"",T86*(0.005462),IF(U86&lt;&gt;"",U86*(0.00952),"")))</f>
        <v>27.31</v>
      </c>
      <c r="W86" s="37">
        <f t="shared" si="13"/>
        <v>31.788839999999997</v>
      </c>
      <c r="X86" s="26">
        <v>200</v>
      </c>
      <c r="Y86" s="31">
        <v>0</v>
      </c>
      <c r="Z86" s="32">
        <f t="shared" si="14"/>
        <v>0</v>
      </c>
      <c r="AA86" s="38">
        <f t="shared" si="15"/>
        <v>6357.7679999999991</v>
      </c>
    </row>
    <row r="87" spans="1:27">
      <c r="A87" s="25">
        <v>86</v>
      </c>
      <c r="B87" s="26" t="s">
        <v>13</v>
      </c>
      <c r="C87" s="26" t="s">
        <v>14</v>
      </c>
      <c r="D87" s="26" t="str">
        <f t="shared" si="10"/>
        <v>Sanya Joshi</v>
      </c>
      <c r="E87" s="26" t="s">
        <v>71</v>
      </c>
      <c r="F87" s="26" t="s">
        <v>23</v>
      </c>
      <c r="G87" s="26">
        <v>20</v>
      </c>
      <c r="H87" s="26" t="s">
        <v>25</v>
      </c>
      <c r="I87" s="26" t="str">
        <f t="shared" si="11"/>
        <v>Min 20 - Max 35 mph</v>
      </c>
      <c r="J87" s="26">
        <v>40</v>
      </c>
      <c r="K87" s="26" t="s">
        <v>99</v>
      </c>
      <c r="L87" s="26" t="str">
        <f t="shared" si="12"/>
        <v>64373,36 meters</v>
      </c>
      <c r="M87" s="26" t="s">
        <v>27</v>
      </c>
      <c r="N87" s="26" t="s">
        <v>106</v>
      </c>
      <c r="O87" s="26" t="s">
        <v>102</v>
      </c>
      <c r="P87" s="26" t="str">
        <f>IF(Table32[[#This Row],[City]] = " Bengaluru","Asia",IF(Table32[[#This Row],[City]]=" Shanghai", "Asia", "Europe"))</f>
        <v>Asia</v>
      </c>
      <c r="Q87" s="26">
        <v>560001</v>
      </c>
      <c r="R87" s="26" t="s">
        <v>21</v>
      </c>
      <c r="S87" s="26"/>
      <c r="T87" s="28">
        <v>3500</v>
      </c>
      <c r="U87" s="26"/>
      <c r="V87" s="33">
        <f>IF(S87&lt;&gt;"",S87,IF(T87&lt;&gt;"",T87*(0.005462),IF(U87&lt;&gt;"",U87*(0.00952),"")))</f>
        <v>19.117000000000001</v>
      </c>
      <c r="W87" s="37">
        <f t="shared" si="13"/>
        <v>22.252188</v>
      </c>
      <c r="X87" s="26">
        <v>450</v>
      </c>
      <c r="Y87" s="31">
        <v>0</v>
      </c>
      <c r="Z87" s="32">
        <f t="shared" si="14"/>
        <v>0</v>
      </c>
      <c r="AA87" s="38">
        <f t="shared" si="15"/>
        <v>10013.4846</v>
      </c>
    </row>
    <row r="88" spans="1:27">
      <c r="A88" s="25">
        <v>87</v>
      </c>
      <c r="B88" s="26" t="s">
        <v>13</v>
      </c>
      <c r="C88" s="26" t="s">
        <v>14</v>
      </c>
      <c r="D88" s="26" t="str">
        <f t="shared" si="10"/>
        <v>Sanya Joshi</v>
      </c>
      <c r="E88" s="26" t="s">
        <v>71</v>
      </c>
      <c r="F88" s="26" t="s">
        <v>29</v>
      </c>
      <c r="G88" s="26">
        <v>18</v>
      </c>
      <c r="H88" s="26" t="s">
        <v>31</v>
      </c>
      <c r="I88" s="26" t="str">
        <f t="shared" si="11"/>
        <v>Min 18 - Max 28 mph</v>
      </c>
      <c r="J88" s="26">
        <v>40.229999999999997</v>
      </c>
      <c r="K88" s="26" t="s">
        <v>115</v>
      </c>
      <c r="L88" s="26" t="str">
        <f t="shared" si="12"/>
        <v>40,23 meters</v>
      </c>
      <c r="M88" s="26" t="s">
        <v>33</v>
      </c>
      <c r="N88" s="26" t="s">
        <v>109</v>
      </c>
      <c r="O88" s="26" t="s">
        <v>102</v>
      </c>
      <c r="P88" s="26" t="str">
        <f>IF(Table32[[#This Row],[City]] = " Bengaluru","Asia",IF(Table32[[#This Row],[City]]=" Shanghai", "Asia", "Europe"))</f>
        <v>Asia</v>
      </c>
      <c r="Q88" s="26">
        <v>560001</v>
      </c>
      <c r="R88" s="26" t="s">
        <v>21</v>
      </c>
      <c r="S88" s="26"/>
      <c r="T88" s="28">
        <v>4200</v>
      </c>
      <c r="U88" s="26"/>
      <c r="V88" s="33">
        <f>IF(S88&lt;&gt;"",S88,IF(T88&lt;&gt;"",T88*(0.005462),IF(U88&lt;&gt;"",U88*(0.00952),"")))</f>
        <v>22.9404</v>
      </c>
      <c r="W88" s="37">
        <f t="shared" si="13"/>
        <v>26.702625599999998</v>
      </c>
      <c r="X88" s="26">
        <v>350</v>
      </c>
      <c r="Y88" s="31">
        <v>0</v>
      </c>
      <c r="Z88" s="32">
        <f t="shared" si="14"/>
        <v>0</v>
      </c>
      <c r="AA88" s="38">
        <f t="shared" si="15"/>
        <v>9345.9189599999991</v>
      </c>
    </row>
    <row r="89" spans="1:27">
      <c r="A89" s="25">
        <v>88</v>
      </c>
      <c r="B89" s="26" t="s">
        <v>35</v>
      </c>
      <c r="C89" s="26" t="s">
        <v>36</v>
      </c>
      <c r="D89" s="26" t="str">
        <f t="shared" si="10"/>
        <v>Fang Liu</v>
      </c>
      <c r="E89" s="26" t="s">
        <v>71</v>
      </c>
      <c r="F89" s="26" t="s">
        <v>16</v>
      </c>
      <c r="G89" s="26">
        <v>17.515000000000001</v>
      </c>
      <c r="H89" s="26" t="s">
        <v>18</v>
      </c>
      <c r="I89" s="26" t="str">
        <f t="shared" si="11"/>
        <v>Min 17,515 - Max 30 mph</v>
      </c>
      <c r="J89" s="26">
        <v>30</v>
      </c>
      <c r="K89" s="26" t="s">
        <v>99</v>
      </c>
      <c r="L89" s="26" t="str">
        <f t="shared" si="12"/>
        <v>48280,02 meters</v>
      </c>
      <c r="M89" s="26" t="s">
        <v>37</v>
      </c>
      <c r="N89" s="26" t="s">
        <v>111</v>
      </c>
      <c r="O89" s="26" t="s">
        <v>112</v>
      </c>
      <c r="P89" s="26" t="str">
        <f>IF(Table32[[#This Row],[City]] = " Bengaluru","Asia",IF(Table32[[#This Row],[City]]=" Shanghai", "Asia", "Europe"))</f>
        <v>Asia</v>
      </c>
      <c r="Q89" s="26">
        <v>200001</v>
      </c>
      <c r="R89" s="26" t="s">
        <v>38</v>
      </c>
      <c r="S89" s="26">
        <v>1000</v>
      </c>
      <c r="T89" s="28"/>
      <c r="U89" s="26"/>
      <c r="V89" s="33">
        <f>IF(S89&lt;&gt;"",S89,IF(T89&lt;&gt;"",T89*(0.005462),IF(U89&lt;&gt;"",U89*(0.00952),"")))</f>
        <v>1000</v>
      </c>
      <c r="W89" s="37">
        <f t="shared" si="13"/>
        <v>1164</v>
      </c>
      <c r="X89" s="26">
        <v>700</v>
      </c>
      <c r="Y89" s="31">
        <v>0</v>
      </c>
      <c r="Z89" s="32">
        <f t="shared" si="14"/>
        <v>0</v>
      </c>
      <c r="AA89" s="38">
        <f t="shared" si="15"/>
        <v>814800</v>
      </c>
    </row>
    <row r="90" spans="1:27">
      <c r="A90" s="25">
        <v>89</v>
      </c>
      <c r="B90" s="26" t="s">
        <v>35</v>
      </c>
      <c r="C90" s="26" t="s">
        <v>36</v>
      </c>
      <c r="D90" s="26" t="str">
        <f t="shared" si="10"/>
        <v>Fang Liu</v>
      </c>
      <c r="E90" s="26" t="s">
        <v>71</v>
      </c>
      <c r="F90" s="26" t="s">
        <v>23</v>
      </c>
      <c r="G90" s="26">
        <v>20</v>
      </c>
      <c r="H90" s="26" t="s">
        <v>25</v>
      </c>
      <c r="I90" s="26" t="str">
        <f t="shared" si="11"/>
        <v>Min 20 - Max 35 mph</v>
      </c>
      <c r="J90" s="26">
        <v>40</v>
      </c>
      <c r="K90" s="26" t="s">
        <v>99</v>
      </c>
      <c r="L90" s="26" t="str">
        <f t="shared" si="12"/>
        <v>64373,36 meters</v>
      </c>
      <c r="M90" s="26" t="s">
        <v>40</v>
      </c>
      <c r="N90" s="26" t="s">
        <v>113</v>
      </c>
      <c r="O90" s="26" t="s">
        <v>112</v>
      </c>
      <c r="P90" s="26" t="str">
        <f>IF(Table32[[#This Row],[City]] = " Bengaluru","Asia",IF(Table32[[#This Row],[City]]=" Shanghai", "Asia", "Europe"))</f>
        <v>Asia</v>
      </c>
      <c r="Q90" s="26">
        <v>200001</v>
      </c>
      <c r="R90" s="26" t="s">
        <v>38</v>
      </c>
      <c r="S90" s="26">
        <v>800</v>
      </c>
      <c r="T90" s="28"/>
      <c r="U90" s="26"/>
      <c r="V90" s="33">
        <f>IF(S90&lt;&gt;"",S90,IF(T90&lt;&gt;"",T90*(0.005462),IF(U90&lt;&gt;"",U90*(0.00952),"")))</f>
        <v>800</v>
      </c>
      <c r="W90" s="37">
        <f t="shared" si="13"/>
        <v>931.19999999999993</v>
      </c>
      <c r="X90" s="26">
        <v>1600</v>
      </c>
      <c r="Y90" s="31">
        <v>0</v>
      </c>
      <c r="Z90" s="32">
        <f t="shared" si="14"/>
        <v>0</v>
      </c>
      <c r="AA90" s="38">
        <f t="shared" si="15"/>
        <v>1489920</v>
      </c>
    </row>
    <row r="91" spans="1:27">
      <c r="A91" s="25">
        <v>90</v>
      </c>
      <c r="B91" s="26" t="s">
        <v>35</v>
      </c>
      <c r="C91" s="26" t="s">
        <v>36</v>
      </c>
      <c r="D91" s="26" t="str">
        <f t="shared" si="10"/>
        <v>Fang Liu</v>
      </c>
      <c r="E91" s="26" t="s">
        <v>71</v>
      </c>
      <c r="F91" s="26" t="s">
        <v>29</v>
      </c>
      <c r="G91" s="26">
        <v>18</v>
      </c>
      <c r="H91" s="26" t="s">
        <v>31</v>
      </c>
      <c r="I91" s="26" t="str">
        <f t="shared" si="11"/>
        <v>Min 18 - Max 28 mph</v>
      </c>
      <c r="J91" s="26">
        <v>25</v>
      </c>
      <c r="K91" s="26" t="s">
        <v>99</v>
      </c>
      <c r="L91" s="26" t="str">
        <f t="shared" si="12"/>
        <v>40233,35 meters</v>
      </c>
      <c r="M91" s="26" t="s">
        <v>43</v>
      </c>
      <c r="N91" s="26" t="s">
        <v>117</v>
      </c>
      <c r="O91" s="26" t="s">
        <v>112</v>
      </c>
      <c r="P91" s="26" t="str">
        <f>IF(Table32[[#This Row],[City]] = " Bengaluru","Asia",IF(Table32[[#This Row],[City]]=" Shanghai", "Asia", "Europe"))</f>
        <v>Asia</v>
      </c>
      <c r="Q91" s="26">
        <v>200001</v>
      </c>
      <c r="R91" s="26" t="s">
        <v>38</v>
      </c>
      <c r="S91" s="26">
        <v>950</v>
      </c>
      <c r="T91" s="28"/>
      <c r="U91" s="26"/>
      <c r="V91" s="33">
        <f>IF(S91&lt;&gt;"",S91,IF(T91&lt;&gt;"",T91*(0.005462),IF(U91&lt;&gt;"",U91*(0.00952),"")))</f>
        <v>950</v>
      </c>
      <c r="W91" s="37">
        <f t="shared" si="13"/>
        <v>1105.8</v>
      </c>
      <c r="X91" s="26">
        <v>1000</v>
      </c>
      <c r="Y91" s="31">
        <v>0</v>
      </c>
      <c r="Z91" s="32">
        <f t="shared" si="14"/>
        <v>0</v>
      </c>
      <c r="AA91" s="38">
        <f t="shared" si="15"/>
        <v>1105800</v>
      </c>
    </row>
    <row r="92" spans="1:27">
      <c r="A92" s="25">
        <v>91</v>
      </c>
      <c r="B92" s="26" t="s">
        <v>45</v>
      </c>
      <c r="C92" s="26" t="s">
        <v>46</v>
      </c>
      <c r="D92" s="26" t="str">
        <f t="shared" si="10"/>
        <v>Jonas Fischer</v>
      </c>
      <c r="E92" s="26" t="s">
        <v>71</v>
      </c>
      <c r="F92" s="26" t="s">
        <v>16</v>
      </c>
      <c r="G92" s="26">
        <v>15</v>
      </c>
      <c r="H92" s="26" t="s">
        <v>18</v>
      </c>
      <c r="I92" s="26" t="str">
        <f t="shared" si="11"/>
        <v>Min 15 - Max 30 mph</v>
      </c>
      <c r="J92" s="26">
        <v>30</v>
      </c>
      <c r="K92" s="26" t="s">
        <v>99</v>
      </c>
      <c r="L92" s="26" t="str">
        <f t="shared" si="12"/>
        <v>48280,02 meters</v>
      </c>
      <c r="M92" s="26" t="s">
        <v>48</v>
      </c>
      <c r="N92" s="26" t="s">
        <v>124</v>
      </c>
      <c r="O92" s="26" t="s">
        <v>125</v>
      </c>
      <c r="P92" s="26" t="str">
        <f>IF(Table32[[#This Row],[City]] = " Bengaluru","Asia",IF(Table32[[#This Row],[City]]=" Shanghai", "Asia", "Europe"))</f>
        <v>Europe</v>
      </c>
      <c r="Q92" s="26">
        <v>20095</v>
      </c>
      <c r="R92" s="26" t="s">
        <v>49</v>
      </c>
      <c r="S92" s="26">
        <v>1100</v>
      </c>
      <c r="T92" s="28"/>
      <c r="U92" s="26"/>
      <c r="V92" s="33">
        <f>IF(S92&lt;&gt;"",S92,IF(T92&lt;&gt;"",T92*(0.005462),IF(U92&lt;&gt;"",U92*(0.00952),"")))</f>
        <v>1100</v>
      </c>
      <c r="W92" s="37">
        <f t="shared" si="13"/>
        <v>1280.3999999999999</v>
      </c>
      <c r="X92" s="26">
        <v>180</v>
      </c>
      <c r="Y92" s="31">
        <v>0</v>
      </c>
      <c r="Z92" s="32">
        <f t="shared" si="14"/>
        <v>0</v>
      </c>
      <c r="AA92" s="38">
        <f t="shared" si="15"/>
        <v>230471.99999999997</v>
      </c>
    </row>
    <row r="93" spans="1:27">
      <c r="A93" s="25">
        <v>92</v>
      </c>
      <c r="B93" s="26" t="s">
        <v>45</v>
      </c>
      <c r="C93" s="26" t="s">
        <v>46</v>
      </c>
      <c r="D93" s="26" t="str">
        <f t="shared" si="10"/>
        <v>Jonas Fischer</v>
      </c>
      <c r="E93" s="26" t="s">
        <v>71</v>
      </c>
      <c r="F93" s="26" t="s">
        <v>23</v>
      </c>
      <c r="G93" s="26">
        <v>20</v>
      </c>
      <c r="H93" s="26" t="s">
        <v>25</v>
      </c>
      <c r="I93" s="26" t="str">
        <f t="shared" si="11"/>
        <v>Min 20 - Max 35 mph</v>
      </c>
      <c r="J93" s="26">
        <v>64.37</v>
      </c>
      <c r="K93" s="26" t="s">
        <v>115</v>
      </c>
      <c r="L93" s="26" t="str">
        <f t="shared" si="12"/>
        <v>64,37 meters</v>
      </c>
      <c r="M93" s="26" t="s">
        <v>51</v>
      </c>
      <c r="N93" s="26" t="s">
        <v>127</v>
      </c>
      <c r="O93" s="26" t="s">
        <v>125</v>
      </c>
      <c r="P93" s="26" t="str">
        <f>IF(Table32[[#This Row],[City]] = " Bengaluru","Asia",IF(Table32[[#This Row],[City]]=" Shanghai", "Asia", "Europe"))</f>
        <v>Europe</v>
      </c>
      <c r="Q93" s="26">
        <v>20095</v>
      </c>
      <c r="R93" s="26" t="s">
        <v>49</v>
      </c>
      <c r="S93" s="26">
        <v>900</v>
      </c>
      <c r="T93" s="28"/>
      <c r="U93" s="26"/>
      <c r="V93" s="33">
        <f>IF(S93&lt;&gt;"",S93,IF(T93&lt;&gt;"",T93*(0.005462),IF(U93&lt;&gt;"",U93*(0.00952),"")))</f>
        <v>900</v>
      </c>
      <c r="W93" s="37">
        <f t="shared" si="13"/>
        <v>1047.5999999999999</v>
      </c>
      <c r="X93" s="26">
        <v>300</v>
      </c>
      <c r="Y93" s="31">
        <v>0</v>
      </c>
      <c r="Z93" s="32">
        <f t="shared" si="14"/>
        <v>0</v>
      </c>
      <c r="AA93" s="38">
        <f t="shared" si="15"/>
        <v>314280</v>
      </c>
    </row>
    <row r="94" spans="1:27">
      <c r="A94" s="25">
        <v>93</v>
      </c>
      <c r="B94" s="26" t="s">
        <v>45</v>
      </c>
      <c r="C94" s="26" t="s">
        <v>46</v>
      </c>
      <c r="D94" s="26" t="str">
        <f t="shared" si="10"/>
        <v>Jonas Fischer</v>
      </c>
      <c r="E94" s="26" t="s">
        <v>71</v>
      </c>
      <c r="F94" s="26" t="s">
        <v>29</v>
      </c>
      <c r="G94" s="26">
        <v>18</v>
      </c>
      <c r="H94" s="26" t="s">
        <v>31</v>
      </c>
      <c r="I94" s="26" t="str">
        <f t="shared" si="11"/>
        <v>Min 18 - Max 28 mph</v>
      </c>
      <c r="J94" s="26">
        <v>25</v>
      </c>
      <c r="K94" s="26" t="s">
        <v>99</v>
      </c>
      <c r="L94" s="26" t="str">
        <f t="shared" si="12"/>
        <v>40233,35 meters</v>
      </c>
      <c r="M94" s="26" t="s">
        <v>53</v>
      </c>
      <c r="N94" s="26" t="s">
        <v>128</v>
      </c>
      <c r="O94" s="26" t="s">
        <v>125</v>
      </c>
      <c r="P94" s="26" t="str">
        <f>IF(Table32[[#This Row],[City]] = " Bengaluru","Asia",IF(Table32[[#This Row],[City]]=" Shanghai", "Asia", "Europe"))</f>
        <v>Europe</v>
      </c>
      <c r="Q94" s="26">
        <v>20095</v>
      </c>
      <c r="R94" s="26" t="s">
        <v>49</v>
      </c>
      <c r="S94" s="26">
        <v>1050</v>
      </c>
      <c r="T94" s="28"/>
      <c r="U94" s="26"/>
      <c r="V94" s="33">
        <f>IF(S94&lt;&gt;"",S94,IF(T94&lt;&gt;"",T94*(0.005462),IF(U94&lt;&gt;"",U94*(0.00952),"")))</f>
        <v>1050</v>
      </c>
      <c r="W94" s="37">
        <f t="shared" si="13"/>
        <v>1222.1999999999998</v>
      </c>
      <c r="X94" s="26">
        <v>230</v>
      </c>
      <c r="Y94" s="31">
        <v>0</v>
      </c>
      <c r="Z94" s="32">
        <f t="shared" si="14"/>
        <v>0</v>
      </c>
      <c r="AA94" s="38">
        <f t="shared" si="15"/>
        <v>281105.99999999994</v>
      </c>
    </row>
    <row r="95" spans="1:27">
      <c r="A95" s="25">
        <v>94</v>
      </c>
      <c r="B95" s="26" t="s">
        <v>55</v>
      </c>
      <c r="C95" s="26" t="s">
        <v>56</v>
      </c>
      <c r="D95" s="26" t="str">
        <f t="shared" si="10"/>
        <v>Théo Bernard</v>
      </c>
      <c r="E95" s="26" t="s">
        <v>71</v>
      </c>
      <c r="F95" s="26" t="s">
        <v>16</v>
      </c>
      <c r="G95" s="26">
        <v>15</v>
      </c>
      <c r="H95" s="26" t="s">
        <v>18</v>
      </c>
      <c r="I95" s="26" t="str">
        <f t="shared" si="11"/>
        <v>Min 15 - Max 30 mph</v>
      </c>
      <c r="J95" s="26">
        <v>30</v>
      </c>
      <c r="K95" s="26" t="s">
        <v>99</v>
      </c>
      <c r="L95" s="26" t="str">
        <f t="shared" si="12"/>
        <v>48280,02 meters</v>
      </c>
      <c r="M95" s="26" t="s">
        <v>57</v>
      </c>
      <c r="N95" s="26" t="s">
        <v>130</v>
      </c>
      <c r="O95" s="26" t="s">
        <v>131</v>
      </c>
      <c r="P95" s="26" t="str">
        <f>IF(Table32[[#This Row],[City]] = " Bengaluru","Asia",IF(Table32[[#This Row],[City]]=" Shanghai", "Asia", "Europe"))</f>
        <v>Europe</v>
      </c>
      <c r="Q95" s="26">
        <v>75005</v>
      </c>
      <c r="R95" s="26" t="s">
        <v>58</v>
      </c>
      <c r="S95" s="26"/>
      <c r="T95" s="28"/>
      <c r="U95" s="29">
        <v>30000</v>
      </c>
      <c r="V95" s="33">
        <f>IF(S95&lt;&gt;"",S95,IF(T95&lt;&gt;"",T95*(0.005462),IF(U95&lt;&gt;"",U95*(0.00952),"")))</f>
        <v>285.60000000000002</v>
      </c>
      <c r="W95" s="37">
        <f t="shared" si="13"/>
        <v>332.4384</v>
      </c>
      <c r="X95" s="26">
        <v>150</v>
      </c>
      <c r="Y95" s="31">
        <v>0</v>
      </c>
      <c r="Z95" s="32">
        <f t="shared" si="14"/>
        <v>0</v>
      </c>
      <c r="AA95" s="38">
        <f t="shared" si="15"/>
        <v>49865.760000000002</v>
      </c>
    </row>
    <row r="96" spans="1:27">
      <c r="A96" s="25">
        <v>95</v>
      </c>
      <c r="B96" s="26" t="s">
        <v>55</v>
      </c>
      <c r="C96" s="26" t="s">
        <v>56</v>
      </c>
      <c r="D96" s="26" t="str">
        <f t="shared" si="10"/>
        <v>Théo Bernard</v>
      </c>
      <c r="E96" s="26" t="s">
        <v>71</v>
      </c>
      <c r="F96" s="26" t="s">
        <v>23</v>
      </c>
      <c r="G96" s="26">
        <v>20</v>
      </c>
      <c r="H96" s="26" t="s">
        <v>25</v>
      </c>
      <c r="I96" s="26" t="str">
        <f t="shared" si="11"/>
        <v>Min 20 - Max 35 mph</v>
      </c>
      <c r="J96" s="26">
        <v>40</v>
      </c>
      <c r="K96" s="26" t="s">
        <v>99</v>
      </c>
      <c r="L96" s="26" t="str">
        <f t="shared" si="12"/>
        <v>64373,36 meters</v>
      </c>
      <c r="M96" s="26" t="s">
        <v>61</v>
      </c>
      <c r="N96" s="26" t="s">
        <v>132</v>
      </c>
      <c r="O96" s="26" t="s">
        <v>131</v>
      </c>
      <c r="P96" s="26" t="str">
        <f>IF(Table32[[#This Row],[City]] = " Bengaluru","Asia",IF(Table32[[#This Row],[City]]=" Shanghai", "Asia", "Europe"))</f>
        <v>Europe</v>
      </c>
      <c r="Q96" s="26">
        <v>75005</v>
      </c>
      <c r="R96" s="26" t="s">
        <v>58</v>
      </c>
      <c r="S96" s="26"/>
      <c r="T96" s="28"/>
      <c r="U96" s="29">
        <v>30000</v>
      </c>
      <c r="V96" s="33">
        <f>IF(S96&lt;&gt;"",S96,IF(T96&lt;&gt;"",T96*(0.005462),IF(U96&lt;&gt;"",U96*(0.00952),"")))</f>
        <v>285.60000000000002</v>
      </c>
      <c r="W96" s="37">
        <f t="shared" si="13"/>
        <v>332.4384</v>
      </c>
      <c r="X96" s="26">
        <v>280</v>
      </c>
      <c r="Y96" s="31">
        <v>0</v>
      </c>
      <c r="Z96" s="32">
        <f t="shared" si="14"/>
        <v>0</v>
      </c>
      <c r="AA96" s="38">
        <f t="shared" si="15"/>
        <v>93082.752000000008</v>
      </c>
    </row>
    <row r="97" spans="1:27">
      <c r="A97" s="25">
        <v>96</v>
      </c>
      <c r="B97" s="26" t="s">
        <v>55</v>
      </c>
      <c r="C97" s="26" t="s">
        <v>56</v>
      </c>
      <c r="D97" s="26" t="str">
        <f t="shared" si="10"/>
        <v>Théo Bernard</v>
      </c>
      <c r="E97" s="26" t="s">
        <v>71</v>
      </c>
      <c r="F97" s="26" t="s">
        <v>29</v>
      </c>
      <c r="G97" s="26">
        <v>18</v>
      </c>
      <c r="H97" s="26" t="s">
        <v>31</v>
      </c>
      <c r="I97" s="26" t="str">
        <f t="shared" si="11"/>
        <v>Min 18 - Max 28 mph</v>
      </c>
      <c r="J97" s="26">
        <v>25</v>
      </c>
      <c r="K97" s="26" t="s">
        <v>99</v>
      </c>
      <c r="L97" s="26" t="str">
        <f t="shared" si="12"/>
        <v>40233,35 meters</v>
      </c>
      <c r="M97" s="26" t="s">
        <v>63</v>
      </c>
      <c r="N97" s="26" t="s">
        <v>133</v>
      </c>
      <c r="O97" s="26" t="s">
        <v>131</v>
      </c>
      <c r="P97" s="26" t="str">
        <f>IF(Table32[[#This Row],[City]] = " Bengaluru","Asia",IF(Table32[[#This Row],[City]]=" Shanghai", "Asia", "Europe"))</f>
        <v>Europe</v>
      </c>
      <c r="Q97" s="26">
        <v>75005</v>
      </c>
      <c r="R97" s="26" t="s">
        <v>58</v>
      </c>
      <c r="S97" s="26"/>
      <c r="T97" s="28"/>
      <c r="U97" s="29">
        <v>25000</v>
      </c>
      <c r="V97" s="33">
        <f>IF(S97&lt;&gt;"",S97,IF(T97&lt;&gt;"",T97*(0.005462),IF(U97&lt;&gt;"",U97*(0.00952),"")))</f>
        <v>238.00000000000003</v>
      </c>
      <c r="W97" s="37">
        <f t="shared" si="13"/>
        <v>277.03200000000004</v>
      </c>
      <c r="X97" s="26">
        <v>290</v>
      </c>
      <c r="Y97" s="31">
        <v>0</v>
      </c>
      <c r="Z97" s="32">
        <f t="shared" si="14"/>
        <v>0</v>
      </c>
      <c r="AA97" s="38">
        <f t="shared" si="15"/>
        <v>80339.280000000013</v>
      </c>
    </row>
    <row r="98" spans="1:27">
      <c r="A98" s="25">
        <v>97</v>
      </c>
      <c r="B98" s="26" t="s">
        <v>13</v>
      </c>
      <c r="C98" s="26" t="s">
        <v>14</v>
      </c>
      <c r="D98" s="26" t="str">
        <f t="shared" ref="D98:D129" si="16">B98 &amp; " " &amp; C98</f>
        <v>Sanya Joshi</v>
      </c>
      <c r="E98" s="26" t="s">
        <v>72</v>
      </c>
      <c r="F98" s="26" t="s">
        <v>16</v>
      </c>
      <c r="G98" s="26">
        <v>15</v>
      </c>
      <c r="H98" s="26" t="s">
        <v>18</v>
      </c>
      <c r="I98" s="26" t="str">
        <f t="shared" ref="I98:I129" si="17">"Min " &amp; G98 &amp; " - Max " &amp; H98</f>
        <v>Min 15 - Max 30 mph</v>
      </c>
      <c r="J98" s="26">
        <v>30</v>
      </c>
      <c r="K98" s="26" t="s">
        <v>99</v>
      </c>
      <c r="L98" s="26" t="str">
        <f t="shared" ref="L98:L129" si="18">IF(K98 = "miles", J98*1609.334,J98) &amp; " meters"</f>
        <v>48280,02 meters</v>
      </c>
      <c r="M98" s="26" t="s">
        <v>20</v>
      </c>
      <c r="N98" s="26" t="s">
        <v>101</v>
      </c>
      <c r="O98" s="26" t="s">
        <v>102</v>
      </c>
      <c r="P98" s="26" t="str">
        <f>IF(Table32[[#This Row],[City]] = " Bengaluru","Asia",IF(Table32[[#This Row],[City]]=" Shanghai", "Asia", "Europe"))</f>
        <v>Asia</v>
      </c>
      <c r="Q98" s="26">
        <v>560001</v>
      </c>
      <c r="R98" s="26" t="s">
        <v>21</v>
      </c>
      <c r="S98" s="26"/>
      <c r="T98" s="28"/>
      <c r="U98" s="29">
        <v>22000</v>
      </c>
      <c r="V98" s="33">
        <f>IF(S98&lt;&gt;"",S98,IF(T98&lt;&gt;"",T98*(0.005462),IF(U98&lt;&gt;"",U98*(0.00952),"")))</f>
        <v>209.44000000000003</v>
      </c>
      <c r="W98" s="37">
        <f t="shared" ref="W98:W129" si="19">V98*1.164</f>
        <v>243.78816</v>
      </c>
      <c r="X98" s="26">
        <v>180</v>
      </c>
      <c r="Y98" s="31">
        <v>0</v>
      </c>
      <c r="Z98" s="32">
        <f t="shared" si="14"/>
        <v>0</v>
      </c>
      <c r="AA98" s="38">
        <f t="shared" si="15"/>
        <v>43881.868800000004</v>
      </c>
    </row>
    <row r="99" spans="1:27">
      <c r="A99" s="25">
        <v>98</v>
      </c>
      <c r="B99" s="26" t="s">
        <v>13</v>
      </c>
      <c r="C99" s="26" t="s">
        <v>14</v>
      </c>
      <c r="D99" s="26" t="str">
        <f t="shared" si="16"/>
        <v>Sanya Joshi</v>
      </c>
      <c r="E99" s="26" t="s">
        <v>72</v>
      </c>
      <c r="F99" s="26" t="s">
        <v>23</v>
      </c>
      <c r="G99" s="26">
        <v>20</v>
      </c>
      <c r="H99" s="26" t="s">
        <v>25</v>
      </c>
      <c r="I99" s="26" t="str">
        <f t="shared" si="17"/>
        <v>Min 20 - Max 35 mph</v>
      </c>
      <c r="J99" s="26">
        <v>40</v>
      </c>
      <c r="K99" s="26" t="s">
        <v>99</v>
      </c>
      <c r="L99" s="26" t="str">
        <f t="shared" si="18"/>
        <v>64373,36 meters</v>
      </c>
      <c r="M99" s="26" t="s">
        <v>27</v>
      </c>
      <c r="N99" s="26" t="s">
        <v>106</v>
      </c>
      <c r="O99" s="26" t="s">
        <v>102</v>
      </c>
      <c r="P99" s="26" t="str">
        <f>IF(Table32[[#This Row],[City]] = " Bengaluru","Asia",IF(Table32[[#This Row],[City]]=" Shanghai", "Asia", "Europe"))</f>
        <v>Asia</v>
      </c>
      <c r="Q99" s="26">
        <v>560001</v>
      </c>
      <c r="R99" s="26" t="s">
        <v>21</v>
      </c>
      <c r="S99" s="26"/>
      <c r="T99" s="28">
        <v>5000</v>
      </c>
      <c r="U99" s="26"/>
      <c r="V99" s="33">
        <f>IF(S99&lt;&gt;"",S99,IF(T99&lt;&gt;"",T99*(0.005462),IF(U99&lt;&gt;"",U99*(0.00952),"")))</f>
        <v>27.31</v>
      </c>
      <c r="W99" s="37">
        <f t="shared" si="19"/>
        <v>31.788839999999997</v>
      </c>
      <c r="X99" s="26">
        <v>500</v>
      </c>
      <c r="Y99" s="31">
        <v>0</v>
      </c>
      <c r="Z99" s="32">
        <f t="shared" si="14"/>
        <v>0</v>
      </c>
      <c r="AA99" s="38">
        <f t="shared" si="15"/>
        <v>15894.419999999998</v>
      </c>
    </row>
    <row r="100" spans="1:27">
      <c r="A100" s="25">
        <v>99</v>
      </c>
      <c r="B100" s="26" t="s">
        <v>13</v>
      </c>
      <c r="C100" s="26" t="s">
        <v>14</v>
      </c>
      <c r="D100" s="26" t="str">
        <f t="shared" si="16"/>
        <v>Sanya Joshi</v>
      </c>
      <c r="E100" s="26" t="s">
        <v>72</v>
      </c>
      <c r="F100" s="26" t="s">
        <v>29</v>
      </c>
      <c r="G100" s="26">
        <v>18</v>
      </c>
      <c r="H100" s="26" t="s">
        <v>31</v>
      </c>
      <c r="I100" s="26" t="str">
        <f t="shared" si="17"/>
        <v>Min 18 - Max 28 mph</v>
      </c>
      <c r="J100" s="26">
        <v>25</v>
      </c>
      <c r="K100" s="26" t="s">
        <v>99</v>
      </c>
      <c r="L100" s="26" t="str">
        <f t="shared" si="18"/>
        <v>40233,35 meters</v>
      </c>
      <c r="M100" s="26" t="s">
        <v>33</v>
      </c>
      <c r="N100" s="26" t="s">
        <v>109</v>
      </c>
      <c r="O100" s="26" t="s">
        <v>102</v>
      </c>
      <c r="P100" s="26" t="str">
        <f>IF(Table32[[#This Row],[City]] = " Bengaluru","Asia",IF(Table32[[#This Row],[City]]=" Shanghai", "Asia", "Europe"))</f>
        <v>Asia</v>
      </c>
      <c r="Q100" s="26">
        <v>560001</v>
      </c>
      <c r="R100" s="26" t="s">
        <v>21</v>
      </c>
      <c r="S100" s="26"/>
      <c r="T100" s="28">
        <v>3500</v>
      </c>
      <c r="U100" s="26"/>
      <c r="V100" s="33">
        <f>IF(S100&lt;&gt;"",S100,IF(T100&lt;&gt;"",T100*(0.005462),IF(U100&lt;&gt;"",U100*(0.00952),"")))</f>
        <v>19.117000000000001</v>
      </c>
      <c r="W100" s="37">
        <f t="shared" si="19"/>
        <v>22.252188</v>
      </c>
      <c r="X100" s="26">
        <v>300</v>
      </c>
      <c r="Y100" s="31">
        <v>0</v>
      </c>
      <c r="Z100" s="32">
        <f t="shared" si="14"/>
        <v>0</v>
      </c>
      <c r="AA100" s="38">
        <f t="shared" si="15"/>
        <v>6675.6563999999998</v>
      </c>
    </row>
    <row r="101" spans="1:27">
      <c r="A101" s="25">
        <v>100</v>
      </c>
      <c r="B101" s="26" t="s">
        <v>35</v>
      </c>
      <c r="C101" s="26" t="s">
        <v>36</v>
      </c>
      <c r="D101" s="26" t="str">
        <f t="shared" si="16"/>
        <v>Fang Liu</v>
      </c>
      <c r="E101" s="26" t="s">
        <v>72</v>
      </c>
      <c r="F101" s="26" t="s">
        <v>16</v>
      </c>
      <c r="G101" s="26">
        <v>15</v>
      </c>
      <c r="H101" s="26" t="s">
        <v>18</v>
      </c>
      <c r="I101" s="26" t="str">
        <f t="shared" si="17"/>
        <v>Min 15 - Max 30 mph</v>
      </c>
      <c r="J101" s="26">
        <v>30</v>
      </c>
      <c r="K101" s="26" t="s">
        <v>99</v>
      </c>
      <c r="L101" s="26" t="str">
        <f t="shared" si="18"/>
        <v>48280,02 meters</v>
      </c>
      <c r="M101" s="26" t="s">
        <v>37</v>
      </c>
      <c r="N101" s="26" t="s">
        <v>111</v>
      </c>
      <c r="O101" s="26" t="s">
        <v>112</v>
      </c>
      <c r="P101" s="26" t="str">
        <f>IF(Table32[[#This Row],[City]] = " Bengaluru","Asia",IF(Table32[[#This Row],[City]]=" Shanghai", "Asia", "Europe"))</f>
        <v>Asia</v>
      </c>
      <c r="Q101" s="26">
        <v>200001</v>
      </c>
      <c r="R101" s="26" t="s">
        <v>38</v>
      </c>
      <c r="S101" s="26"/>
      <c r="T101" s="28">
        <v>4200</v>
      </c>
      <c r="U101" s="26"/>
      <c r="V101" s="33">
        <f>IF(S101&lt;&gt;"",S101,IF(T101&lt;&gt;"",T101*(0.005462),IF(U101&lt;&gt;"",U101*(0.00952),"")))</f>
        <v>22.9404</v>
      </c>
      <c r="W101" s="37">
        <f t="shared" si="19"/>
        <v>26.702625599999998</v>
      </c>
      <c r="X101" s="26">
        <v>600</v>
      </c>
      <c r="Y101" s="31">
        <v>0</v>
      </c>
      <c r="Z101" s="32">
        <f t="shared" si="14"/>
        <v>0</v>
      </c>
      <c r="AA101" s="38">
        <f t="shared" si="15"/>
        <v>16021.575359999999</v>
      </c>
    </row>
    <row r="102" spans="1:27">
      <c r="A102" s="25">
        <v>101</v>
      </c>
      <c r="B102" s="26" t="s">
        <v>35</v>
      </c>
      <c r="C102" s="26" t="s">
        <v>36</v>
      </c>
      <c r="D102" s="26" t="str">
        <f t="shared" si="16"/>
        <v>Fang Liu</v>
      </c>
      <c r="E102" s="26" t="s">
        <v>72</v>
      </c>
      <c r="F102" s="26" t="s">
        <v>23</v>
      </c>
      <c r="G102" s="26">
        <v>20</v>
      </c>
      <c r="H102" s="26" t="s">
        <v>25</v>
      </c>
      <c r="I102" s="26" t="str">
        <f t="shared" si="17"/>
        <v>Min 20 - Max 35 mph</v>
      </c>
      <c r="J102" s="26">
        <v>40</v>
      </c>
      <c r="K102" s="26" t="s">
        <v>99</v>
      </c>
      <c r="L102" s="26" t="str">
        <f t="shared" si="18"/>
        <v>64373,36 meters</v>
      </c>
      <c r="M102" s="26" t="s">
        <v>40</v>
      </c>
      <c r="N102" s="26" t="s">
        <v>113</v>
      </c>
      <c r="O102" s="26" t="s">
        <v>112</v>
      </c>
      <c r="P102" s="26" t="str">
        <f>IF(Table32[[#This Row],[City]] = " Bengaluru","Asia",IF(Table32[[#This Row],[City]]=" Shanghai", "Asia", "Europe"))</f>
        <v>Asia</v>
      </c>
      <c r="Q102" s="26">
        <v>200001</v>
      </c>
      <c r="R102" s="26" t="s">
        <v>38</v>
      </c>
      <c r="S102" s="26">
        <v>1000</v>
      </c>
      <c r="T102" s="28"/>
      <c r="U102" s="26"/>
      <c r="V102" s="33">
        <f>IF(S102&lt;&gt;"",S102,IF(T102&lt;&gt;"",T102*(0.005462),IF(U102&lt;&gt;"",U102*(0.00952),"")))</f>
        <v>1000</v>
      </c>
      <c r="W102" s="37">
        <f t="shared" si="19"/>
        <v>1164</v>
      </c>
      <c r="X102" s="26">
        <v>1400</v>
      </c>
      <c r="Y102" s="31">
        <v>0</v>
      </c>
      <c r="Z102" s="32">
        <f t="shared" si="14"/>
        <v>0</v>
      </c>
      <c r="AA102" s="38">
        <f t="shared" si="15"/>
        <v>1629600</v>
      </c>
    </row>
    <row r="103" spans="1:27">
      <c r="A103" s="25">
        <v>102</v>
      </c>
      <c r="B103" s="26" t="s">
        <v>35</v>
      </c>
      <c r="C103" s="26" t="s">
        <v>36</v>
      </c>
      <c r="D103" s="26" t="str">
        <f t="shared" si="16"/>
        <v>Fang Liu</v>
      </c>
      <c r="E103" s="26" t="s">
        <v>72</v>
      </c>
      <c r="F103" s="26" t="s">
        <v>29</v>
      </c>
      <c r="G103" s="26">
        <v>18</v>
      </c>
      <c r="H103" s="26" t="s">
        <v>31</v>
      </c>
      <c r="I103" s="26" t="str">
        <f t="shared" si="17"/>
        <v>Min 18 - Max 28 mph</v>
      </c>
      <c r="J103" s="26">
        <v>25</v>
      </c>
      <c r="K103" s="26" t="s">
        <v>99</v>
      </c>
      <c r="L103" s="26" t="str">
        <f t="shared" si="18"/>
        <v>40233,35 meters</v>
      </c>
      <c r="M103" s="26" t="s">
        <v>43</v>
      </c>
      <c r="N103" s="26" t="s">
        <v>117</v>
      </c>
      <c r="O103" s="26" t="s">
        <v>112</v>
      </c>
      <c r="P103" s="26" t="str">
        <f>IF(Table32[[#This Row],[City]] = " Bengaluru","Asia",IF(Table32[[#This Row],[City]]=" Shanghai", "Asia", "Europe"))</f>
        <v>Asia</v>
      </c>
      <c r="Q103" s="26">
        <v>200001</v>
      </c>
      <c r="R103" s="26" t="s">
        <v>38</v>
      </c>
      <c r="S103" s="26">
        <v>800</v>
      </c>
      <c r="T103" s="28"/>
      <c r="U103" s="26"/>
      <c r="V103" s="33">
        <f>IF(S103&lt;&gt;"",S103,IF(T103&lt;&gt;"",T103*(0.005462),IF(U103&lt;&gt;"",U103*(0.00952),"")))</f>
        <v>800</v>
      </c>
      <c r="W103" s="37">
        <f t="shared" si="19"/>
        <v>931.19999999999993</v>
      </c>
      <c r="X103" s="26">
        <v>850</v>
      </c>
      <c r="Y103" s="31">
        <v>0</v>
      </c>
      <c r="Z103" s="32">
        <f t="shared" si="14"/>
        <v>0</v>
      </c>
      <c r="AA103" s="38">
        <f t="shared" si="15"/>
        <v>791520</v>
      </c>
    </row>
    <row r="104" spans="1:27">
      <c r="A104" s="25">
        <v>103</v>
      </c>
      <c r="B104" s="26" t="s">
        <v>45</v>
      </c>
      <c r="C104" s="26" t="s">
        <v>46</v>
      </c>
      <c r="D104" s="26" t="str">
        <f t="shared" si="16"/>
        <v>Jonas Fischer</v>
      </c>
      <c r="E104" s="26" t="s">
        <v>72</v>
      </c>
      <c r="F104" s="26" t="s">
        <v>16</v>
      </c>
      <c r="G104" s="26">
        <v>15</v>
      </c>
      <c r="H104" s="26" t="s">
        <v>18</v>
      </c>
      <c r="I104" s="26" t="str">
        <f t="shared" si="17"/>
        <v>Min 15 - Max 30 mph</v>
      </c>
      <c r="J104" s="26">
        <v>48.28</v>
      </c>
      <c r="K104" s="26" t="s">
        <v>115</v>
      </c>
      <c r="L104" s="26" t="str">
        <f t="shared" si="18"/>
        <v>48,28 meters</v>
      </c>
      <c r="M104" s="26" t="s">
        <v>48</v>
      </c>
      <c r="N104" s="26" t="s">
        <v>124</v>
      </c>
      <c r="O104" s="26" t="s">
        <v>125</v>
      </c>
      <c r="P104" s="26" t="str">
        <f>IF(Table32[[#This Row],[City]] = " Bengaluru","Asia",IF(Table32[[#This Row],[City]]=" Shanghai", "Asia", "Europe"))</f>
        <v>Europe</v>
      </c>
      <c r="Q104" s="26">
        <v>20095</v>
      </c>
      <c r="R104" s="26" t="s">
        <v>49</v>
      </c>
      <c r="S104" s="26">
        <v>950</v>
      </c>
      <c r="T104" s="28"/>
      <c r="U104" s="26"/>
      <c r="V104" s="33">
        <f>IF(S104&lt;&gt;"",S104,IF(T104&lt;&gt;"",T104*(0.005462),IF(U104&lt;&gt;"",U104*(0.00952),"")))</f>
        <v>950</v>
      </c>
      <c r="W104" s="37">
        <f t="shared" si="19"/>
        <v>1105.8</v>
      </c>
      <c r="X104" s="26">
        <v>160</v>
      </c>
      <c r="Y104" s="31">
        <v>0</v>
      </c>
      <c r="Z104" s="32">
        <f t="shared" si="14"/>
        <v>0</v>
      </c>
      <c r="AA104" s="38">
        <f t="shared" si="15"/>
        <v>176928</v>
      </c>
    </row>
    <row r="105" spans="1:27">
      <c r="A105" s="25">
        <v>104</v>
      </c>
      <c r="B105" s="26" t="s">
        <v>45</v>
      </c>
      <c r="C105" s="26" t="s">
        <v>46</v>
      </c>
      <c r="D105" s="26" t="str">
        <f t="shared" si="16"/>
        <v>Jonas Fischer</v>
      </c>
      <c r="E105" s="26" t="s">
        <v>72</v>
      </c>
      <c r="F105" s="26" t="s">
        <v>23</v>
      </c>
      <c r="G105" s="26">
        <v>20</v>
      </c>
      <c r="H105" s="26" t="s">
        <v>25</v>
      </c>
      <c r="I105" s="26" t="str">
        <f t="shared" si="17"/>
        <v>Min 20 - Max 35 mph</v>
      </c>
      <c r="J105" s="26">
        <v>40</v>
      </c>
      <c r="K105" s="26" t="s">
        <v>99</v>
      </c>
      <c r="L105" s="26" t="str">
        <f t="shared" si="18"/>
        <v>64373,36 meters</v>
      </c>
      <c r="M105" s="26" t="s">
        <v>51</v>
      </c>
      <c r="N105" s="26" t="s">
        <v>127</v>
      </c>
      <c r="O105" s="26" t="s">
        <v>125</v>
      </c>
      <c r="P105" s="26" t="str">
        <f>IF(Table32[[#This Row],[City]] = " Bengaluru","Asia",IF(Table32[[#This Row],[City]]=" Shanghai", "Asia", "Europe"))</f>
        <v>Europe</v>
      </c>
      <c r="Q105" s="26">
        <v>20095</v>
      </c>
      <c r="R105" s="26" t="s">
        <v>49</v>
      </c>
      <c r="S105" s="26">
        <v>950</v>
      </c>
      <c r="T105" s="28"/>
      <c r="U105" s="26"/>
      <c r="V105" s="33">
        <f>IF(S105&lt;&gt;"",S105,IF(T105&lt;&gt;"",T105*(0.005462),IF(U105&lt;&gt;"",U105*(0.00952),"")))</f>
        <v>950</v>
      </c>
      <c r="W105" s="37">
        <f t="shared" si="19"/>
        <v>1105.8</v>
      </c>
      <c r="X105" s="26">
        <v>320</v>
      </c>
      <c r="Y105" s="31">
        <v>0</v>
      </c>
      <c r="Z105" s="32">
        <f t="shared" si="14"/>
        <v>0</v>
      </c>
      <c r="AA105" s="38">
        <f t="shared" si="15"/>
        <v>353856</v>
      </c>
    </row>
    <row r="106" spans="1:27">
      <c r="A106" s="25">
        <v>105</v>
      </c>
      <c r="B106" s="26" t="s">
        <v>45</v>
      </c>
      <c r="C106" s="26" t="s">
        <v>46</v>
      </c>
      <c r="D106" s="26" t="str">
        <f t="shared" si="16"/>
        <v>Jonas Fischer</v>
      </c>
      <c r="E106" s="26" t="s">
        <v>72</v>
      </c>
      <c r="F106" s="26" t="s">
        <v>29</v>
      </c>
      <c r="G106" s="26">
        <v>18</v>
      </c>
      <c r="H106" s="26" t="s">
        <v>31</v>
      </c>
      <c r="I106" s="26" t="str">
        <f t="shared" si="17"/>
        <v>Min 18 - Max 28 mph</v>
      </c>
      <c r="J106" s="26">
        <v>25</v>
      </c>
      <c r="K106" s="26" t="s">
        <v>99</v>
      </c>
      <c r="L106" s="26" t="str">
        <f t="shared" si="18"/>
        <v>40233,35 meters</v>
      </c>
      <c r="M106" s="26" t="s">
        <v>53</v>
      </c>
      <c r="N106" s="26" t="s">
        <v>128</v>
      </c>
      <c r="O106" s="26" t="s">
        <v>125</v>
      </c>
      <c r="P106" s="26" t="str">
        <f>IF(Table32[[#This Row],[City]] = " Bengaluru","Asia",IF(Table32[[#This Row],[City]]=" Shanghai", "Asia", "Europe"))</f>
        <v>Europe</v>
      </c>
      <c r="Q106" s="26">
        <v>20095</v>
      </c>
      <c r="R106" s="26" t="s">
        <v>49</v>
      </c>
      <c r="S106" s="26">
        <v>1100</v>
      </c>
      <c r="T106" s="28"/>
      <c r="U106" s="26"/>
      <c r="V106" s="33">
        <f>IF(S106&lt;&gt;"",S106,IF(T106&lt;&gt;"",T106*(0.005462),IF(U106&lt;&gt;"",U106*(0.00952),"")))</f>
        <v>1100</v>
      </c>
      <c r="W106" s="37">
        <f t="shared" si="19"/>
        <v>1280.3999999999999</v>
      </c>
      <c r="X106" s="26">
        <v>250</v>
      </c>
      <c r="Y106" s="31">
        <v>0</v>
      </c>
      <c r="Z106" s="32">
        <f t="shared" si="14"/>
        <v>0</v>
      </c>
      <c r="AA106" s="38">
        <f t="shared" si="15"/>
        <v>320099.99999999994</v>
      </c>
    </row>
    <row r="107" spans="1:27">
      <c r="A107" s="25">
        <v>106</v>
      </c>
      <c r="B107" s="26" t="s">
        <v>55</v>
      </c>
      <c r="C107" s="26" t="s">
        <v>56</v>
      </c>
      <c r="D107" s="26" t="str">
        <f t="shared" si="16"/>
        <v>Théo Bernard</v>
      </c>
      <c r="E107" s="26" t="s">
        <v>72</v>
      </c>
      <c r="F107" s="26" t="s">
        <v>16</v>
      </c>
      <c r="G107" s="26">
        <v>15</v>
      </c>
      <c r="H107" s="26" t="s">
        <v>18</v>
      </c>
      <c r="I107" s="26" t="str">
        <f t="shared" si="17"/>
        <v>Min 15 - Max 30 mph</v>
      </c>
      <c r="J107" s="26">
        <v>30</v>
      </c>
      <c r="K107" s="26" t="s">
        <v>99</v>
      </c>
      <c r="L107" s="26" t="str">
        <f t="shared" si="18"/>
        <v>48280,02 meters</v>
      </c>
      <c r="M107" s="26" t="s">
        <v>57</v>
      </c>
      <c r="N107" s="26" t="s">
        <v>130</v>
      </c>
      <c r="O107" s="26" t="s">
        <v>131</v>
      </c>
      <c r="P107" s="26" t="str">
        <f>IF(Table32[[#This Row],[City]] = " Bengaluru","Asia",IF(Table32[[#This Row],[City]]=" Shanghai", "Asia", "Europe"))</f>
        <v>Europe</v>
      </c>
      <c r="Q107" s="26">
        <v>75005</v>
      </c>
      <c r="R107" s="26" t="s">
        <v>58</v>
      </c>
      <c r="S107" s="26">
        <v>900</v>
      </c>
      <c r="T107" s="28"/>
      <c r="U107" s="26"/>
      <c r="V107" s="33">
        <f>IF(S107&lt;&gt;"",S107,IF(T107&lt;&gt;"",T107*(0.005462),IF(U107&lt;&gt;"",U107*(0.00952),"")))</f>
        <v>900</v>
      </c>
      <c r="W107" s="37">
        <f t="shared" si="19"/>
        <v>1047.5999999999999</v>
      </c>
      <c r="X107" s="26">
        <v>140</v>
      </c>
      <c r="Y107" s="31">
        <v>0</v>
      </c>
      <c r="Z107" s="32">
        <f t="shared" si="14"/>
        <v>0</v>
      </c>
      <c r="AA107" s="38">
        <f t="shared" si="15"/>
        <v>146664</v>
      </c>
    </row>
    <row r="108" spans="1:27">
      <c r="A108" s="25">
        <v>107</v>
      </c>
      <c r="B108" s="26" t="s">
        <v>55</v>
      </c>
      <c r="C108" s="26" t="s">
        <v>56</v>
      </c>
      <c r="D108" s="26" t="str">
        <f t="shared" si="16"/>
        <v>Théo Bernard</v>
      </c>
      <c r="E108" s="26" t="s">
        <v>72</v>
      </c>
      <c r="F108" s="26" t="s">
        <v>23</v>
      </c>
      <c r="G108" s="26">
        <v>20</v>
      </c>
      <c r="H108" s="26" t="s">
        <v>25</v>
      </c>
      <c r="I108" s="26" t="str">
        <f t="shared" si="17"/>
        <v>Min 20 - Max 35 mph</v>
      </c>
      <c r="J108" s="26">
        <v>40</v>
      </c>
      <c r="K108" s="26" t="s">
        <v>99</v>
      </c>
      <c r="L108" s="26" t="str">
        <f t="shared" si="18"/>
        <v>64373,36 meters</v>
      </c>
      <c r="M108" s="26" t="s">
        <v>61</v>
      </c>
      <c r="N108" s="26" t="s">
        <v>132</v>
      </c>
      <c r="O108" s="26" t="s">
        <v>131</v>
      </c>
      <c r="P108" s="26" t="str">
        <f>IF(Table32[[#This Row],[City]] = " Bengaluru","Asia",IF(Table32[[#This Row],[City]]=" Shanghai", "Asia", "Europe"))</f>
        <v>Europe</v>
      </c>
      <c r="Q108" s="26">
        <v>75005</v>
      </c>
      <c r="R108" s="26" t="s">
        <v>58</v>
      </c>
      <c r="S108" s="26">
        <v>1050</v>
      </c>
      <c r="T108" s="28"/>
      <c r="U108" s="26"/>
      <c r="V108" s="33">
        <f>IF(S108&lt;&gt;"",S108,IF(T108&lt;&gt;"",T108*(0.005462),IF(U108&lt;&gt;"",U108*(0.00952),"")))</f>
        <v>1050</v>
      </c>
      <c r="W108" s="37">
        <f t="shared" si="19"/>
        <v>1222.1999999999998</v>
      </c>
      <c r="X108" s="26">
        <v>310</v>
      </c>
      <c r="Y108" s="31">
        <v>0</v>
      </c>
      <c r="Z108" s="32">
        <f t="shared" si="14"/>
        <v>0</v>
      </c>
      <c r="AA108" s="38">
        <f t="shared" si="15"/>
        <v>378881.99999999994</v>
      </c>
    </row>
    <row r="109" spans="1:27">
      <c r="A109" s="25">
        <v>108</v>
      </c>
      <c r="B109" s="26" t="s">
        <v>55</v>
      </c>
      <c r="C109" s="26" t="s">
        <v>56</v>
      </c>
      <c r="D109" s="26" t="str">
        <f t="shared" si="16"/>
        <v>Théo Bernard</v>
      </c>
      <c r="E109" s="26" t="s">
        <v>72</v>
      </c>
      <c r="F109" s="26" t="s">
        <v>29</v>
      </c>
      <c r="G109" s="26">
        <v>18</v>
      </c>
      <c r="H109" s="26" t="s">
        <v>31</v>
      </c>
      <c r="I109" s="26" t="str">
        <f t="shared" si="17"/>
        <v>Min 18 - Max 28 mph</v>
      </c>
      <c r="J109" s="26">
        <v>25</v>
      </c>
      <c r="K109" s="26" t="s">
        <v>99</v>
      </c>
      <c r="L109" s="26" t="str">
        <f t="shared" si="18"/>
        <v>40233,35 meters</v>
      </c>
      <c r="M109" s="26" t="s">
        <v>63</v>
      </c>
      <c r="N109" s="26" t="s">
        <v>133</v>
      </c>
      <c r="O109" s="26" t="s">
        <v>131</v>
      </c>
      <c r="P109" s="26" t="str">
        <f>IF(Table32[[#This Row],[City]] = " Bengaluru","Asia",IF(Table32[[#This Row],[City]]=" Shanghai", "Asia", "Europe"))</f>
        <v>Europe</v>
      </c>
      <c r="Q109" s="26">
        <v>75005</v>
      </c>
      <c r="R109" s="26" t="s">
        <v>58</v>
      </c>
      <c r="S109" s="26"/>
      <c r="T109" s="28"/>
      <c r="U109" s="29">
        <v>30000</v>
      </c>
      <c r="V109" s="33">
        <f>IF(S109&lt;&gt;"",S109,IF(T109&lt;&gt;"",T109*(0.005462),IF(U109&lt;&gt;"",U109*(0.00952),"")))</f>
        <v>285.60000000000002</v>
      </c>
      <c r="W109" s="37">
        <f t="shared" si="19"/>
        <v>332.4384</v>
      </c>
      <c r="X109" s="26">
        <v>280</v>
      </c>
      <c r="Y109" s="31">
        <v>0</v>
      </c>
      <c r="Z109" s="32">
        <f t="shared" si="14"/>
        <v>0</v>
      </c>
      <c r="AA109" s="38">
        <f t="shared" si="15"/>
        <v>93082.752000000008</v>
      </c>
    </row>
    <row r="110" spans="1:27">
      <c r="A110" s="25">
        <v>109</v>
      </c>
      <c r="B110" s="26" t="s">
        <v>13</v>
      </c>
      <c r="C110" s="26" t="s">
        <v>14</v>
      </c>
      <c r="D110" s="26" t="str">
        <f t="shared" si="16"/>
        <v>Sanya Joshi</v>
      </c>
      <c r="E110" s="26" t="s">
        <v>73</v>
      </c>
      <c r="F110" s="26" t="s">
        <v>16</v>
      </c>
      <c r="G110" s="26">
        <v>15</v>
      </c>
      <c r="H110" s="26" t="s">
        <v>18</v>
      </c>
      <c r="I110" s="26" t="str">
        <f t="shared" si="17"/>
        <v>Min 15 - Max 30 mph</v>
      </c>
      <c r="J110" s="26">
        <v>30</v>
      </c>
      <c r="K110" s="26" t="s">
        <v>99</v>
      </c>
      <c r="L110" s="26" t="str">
        <f t="shared" si="18"/>
        <v>48280,02 meters</v>
      </c>
      <c r="M110" s="26" t="s">
        <v>20</v>
      </c>
      <c r="N110" s="26" t="s">
        <v>101</v>
      </c>
      <c r="O110" s="26" t="s">
        <v>102</v>
      </c>
      <c r="P110" s="26" t="str">
        <f>IF(Table32[[#This Row],[City]] = " Bengaluru","Asia",IF(Table32[[#This Row],[City]]=" Shanghai", "Asia", "Europe"))</f>
        <v>Asia</v>
      </c>
      <c r="Q110" s="26">
        <v>560001</v>
      </c>
      <c r="R110" s="26" t="s">
        <v>21</v>
      </c>
      <c r="S110" s="26"/>
      <c r="T110" s="28"/>
      <c r="U110" s="29">
        <v>25000</v>
      </c>
      <c r="V110" s="33">
        <f>IF(S110&lt;&gt;"",S110,IF(T110&lt;&gt;"",T110*(0.005462),IF(U110&lt;&gt;"",U110*(0.00952),"")))</f>
        <v>238.00000000000003</v>
      </c>
      <c r="W110" s="37">
        <f t="shared" si="19"/>
        <v>277.03200000000004</v>
      </c>
      <c r="X110" s="26">
        <v>150</v>
      </c>
      <c r="Y110" s="31">
        <v>0</v>
      </c>
      <c r="Z110" s="32">
        <f t="shared" si="14"/>
        <v>0</v>
      </c>
      <c r="AA110" s="38">
        <f t="shared" si="15"/>
        <v>41554.800000000003</v>
      </c>
    </row>
    <row r="111" spans="1:27">
      <c r="A111" s="25">
        <v>110</v>
      </c>
      <c r="B111" s="26" t="s">
        <v>13</v>
      </c>
      <c r="C111" s="26" t="s">
        <v>14</v>
      </c>
      <c r="D111" s="26" t="str">
        <f t="shared" si="16"/>
        <v>Sanya Joshi</v>
      </c>
      <c r="E111" s="26" t="s">
        <v>73</v>
      </c>
      <c r="F111" s="26" t="s">
        <v>23</v>
      </c>
      <c r="G111" s="26">
        <v>20</v>
      </c>
      <c r="H111" s="26" t="s">
        <v>25</v>
      </c>
      <c r="I111" s="26" t="str">
        <f t="shared" si="17"/>
        <v>Min 20 - Max 35 mph</v>
      </c>
      <c r="J111" s="26">
        <v>40</v>
      </c>
      <c r="K111" s="26" t="s">
        <v>99</v>
      </c>
      <c r="L111" s="26" t="str">
        <f t="shared" si="18"/>
        <v>64373,36 meters</v>
      </c>
      <c r="M111" s="26" t="s">
        <v>27</v>
      </c>
      <c r="N111" s="26" t="s">
        <v>106</v>
      </c>
      <c r="O111" s="26" t="s">
        <v>102</v>
      </c>
      <c r="P111" s="26" t="str">
        <f>IF(Table32[[#This Row],[City]] = " Bengaluru","Asia",IF(Table32[[#This Row],[City]]=" Shanghai", "Asia", "Europe"))</f>
        <v>Asia</v>
      </c>
      <c r="Q111" s="26">
        <v>560001</v>
      </c>
      <c r="R111" s="26" t="s">
        <v>21</v>
      </c>
      <c r="S111" s="26"/>
      <c r="T111" s="28"/>
      <c r="U111" s="29">
        <v>22000</v>
      </c>
      <c r="V111" s="33">
        <f>IF(S111&lt;&gt;"",S111,IF(T111&lt;&gt;"",T111*(0.005462),IF(U111&lt;&gt;"",U111*(0.00952),"")))</f>
        <v>209.44000000000003</v>
      </c>
      <c r="W111" s="37">
        <f t="shared" si="19"/>
        <v>243.78816</v>
      </c>
      <c r="X111" s="26">
        <v>400</v>
      </c>
      <c r="Y111" s="31">
        <v>0</v>
      </c>
      <c r="Z111" s="32">
        <f t="shared" si="14"/>
        <v>0</v>
      </c>
      <c r="AA111" s="38">
        <f t="shared" si="15"/>
        <v>97515.263999999996</v>
      </c>
    </row>
    <row r="112" spans="1:27">
      <c r="A112" s="25">
        <v>111</v>
      </c>
      <c r="B112" s="26" t="s">
        <v>13</v>
      </c>
      <c r="C112" s="26" t="s">
        <v>14</v>
      </c>
      <c r="D112" s="26" t="str">
        <f t="shared" si="16"/>
        <v>Sanya Joshi</v>
      </c>
      <c r="E112" s="26" t="s">
        <v>73</v>
      </c>
      <c r="F112" s="26" t="s">
        <v>29</v>
      </c>
      <c r="G112" s="26">
        <v>18</v>
      </c>
      <c r="H112" s="26" t="s">
        <v>31</v>
      </c>
      <c r="I112" s="26" t="str">
        <f t="shared" si="17"/>
        <v>Min 18 - Max 28 mph</v>
      </c>
      <c r="J112" s="26">
        <v>40.229999999999997</v>
      </c>
      <c r="K112" s="26" t="s">
        <v>115</v>
      </c>
      <c r="L112" s="26" t="str">
        <f t="shared" si="18"/>
        <v>40,23 meters</v>
      </c>
      <c r="M112" s="26" t="s">
        <v>33</v>
      </c>
      <c r="N112" s="26" t="s">
        <v>109</v>
      </c>
      <c r="O112" s="26" t="s">
        <v>102</v>
      </c>
      <c r="P112" s="26" t="str">
        <f>IF(Table32[[#This Row],[City]] = " Bengaluru","Asia",IF(Table32[[#This Row],[City]]=" Shanghai", "Asia", "Europe"))</f>
        <v>Asia</v>
      </c>
      <c r="Q112" s="26">
        <v>560001</v>
      </c>
      <c r="R112" s="26" t="s">
        <v>21</v>
      </c>
      <c r="S112" s="26"/>
      <c r="T112" s="28">
        <v>5000</v>
      </c>
      <c r="U112" s="26"/>
      <c r="V112" s="33">
        <f>IF(S112&lt;&gt;"",S112,IF(T112&lt;&gt;"",T112*(0.005462),IF(U112&lt;&gt;"",U112*(0.00952),"")))</f>
        <v>27.31</v>
      </c>
      <c r="W112" s="37">
        <f t="shared" si="19"/>
        <v>31.788839999999997</v>
      </c>
      <c r="X112" s="26">
        <v>280</v>
      </c>
      <c r="Y112" s="31">
        <v>0</v>
      </c>
      <c r="Z112" s="32">
        <f t="shared" si="14"/>
        <v>0</v>
      </c>
      <c r="AA112" s="38">
        <f t="shared" si="15"/>
        <v>8900.8751999999986</v>
      </c>
    </row>
    <row r="113" spans="1:27">
      <c r="A113" s="25">
        <v>112</v>
      </c>
      <c r="B113" s="26" t="s">
        <v>35</v>
      </c>
      <c r="C113" s="26" t="s">
        <v>36</v>
      </c>
      <c r="D113" s="26" t="str">
        <f t="shared" si="16"/>
        <v>Fang Liu</v>
      </c>
      <c r="E113" s="26" t="s">
        <v>73</v>
      </c>
      <c r="F113" s="26" t="s">
        <v>16</v>
      </c>
      <c r="G113" s="26">
        <v>15</v>
      </c>
      <c r="H113" s="26" t="s">
        <v>18</v>
      </c>
      <c r="I113" s="26" t="str">
        <f t="shared" si="17"/>
        <v>Min 15 - Max 30 mph</v>
      </c>
      <c r="J113" s="26">
        <v>30</v>
      </c>
      <c r="K113" s="26" t="s">
        <v>99</v>
      </c>
      <c r="L113" s="26" t="str">
        <f t="shared" si="18"/>
        <v>48280,02 meters</v>
      </c>
      <c r="M113" s="26" t="s">
        <v>37</v>
      </c>
      <c r="N113" s="26" t="s">
        <v>111</v>
      </c>
      <c r="O113" s="26" t="s">
        <v>112</v>
      </c>
      <c r="P113" s="26" t="str">
        <f>IF(Table32[[#This Row],[City]] = " Bengaluru","Asia",IF(Table32[[#This Row],[City]]=" Shanghai", "Asia", "Europe"))</f>
        <v>Asia</v>
      </c>
      <c r="Q113" s="26">
        <v>200001</v>
      </c>
      <c r="R113" s="26" t="s">
        <v>38</v>
      </c>
      <c r="S113" s="26"/>
      <c r="T113" s="28">
        <v>3500</v>
      </c>
      <c r="U113" s="26"/>
      <c r="V113" s="33">
        <f>IF(S113&lt;&gt;"",S113,IF(T113&lt;&gt;"",T113*(0.005462),IF(U113&lt;&gt;"",U113*(0.00952),"")))</f>
        <v>19.117000000000001</v>
      </c>
      <c r="W113" s="37">
        <f t="shared" si="19"/>
        <v>22.252188</v>
      </c>
      <c r="X113" s="26">
        <v>550</v>
      </c>
      <c r="Y113" s="31">
        <v>0</v>
      </c>
      <c r="Z113" s="32">
        <f t="shared" si="14"/>
        <v>0</v>
      </c>
      <c r="AA113" s="38">
        <f t="shared" si="15"/>
        <v>12238.7034</v>
      </c>
    </row>
    <row r="114" spans="1:27">
      <c r="A114" s="25">
        <v>113</v>
      </c>
      <c r="B114" s="26" t="s">
        <v>35</v>
      </c>
      <c r="C114" s="26" t="s">
        <v>36</v>
      </c>
      <c r="D114" s="26" t="str">
        <f t="shared" si="16"/>
        <v>Fang Liu</v>
      </c>
      <c r="E114" s="26" t="s">
        <v>73</v>
      </c>
      <c r="F114" s="26" t="s">
        <v>23</v>
      </c>
      <c r="G114" s="26">
        <v>20</v>
      </c>
      <c r="H114" s="26" t="s">
        <v>25</v>
      </c>
      <c r="I114" s="26" t="str">
        <f t="shared" si="17"/>
        <v>Min 20 - Max 35 mph</v>
      </c>
      <c r="J114" s="26">
        <v>40</v>
      </c>
      <c r="K114" s="26" t="s">
        <v>99</v>
      </c>
      <c r="L114" s="26" t="str">
        <f t="shared" si="18"/>
        <v>64373,36 meters</v>
      </c>
      <c r="M114" s="26" t="s">
        <v>40</v>
      </c>
      <c r="N114" s="26" t="s">
        <v>113</v>
      </c>
      <c r="O114" s="26" t="s">
        <v>112</v>
      </c>
      <c r="P114" s="26" t="str">
        <f>IF(Table32[[#This Row],[City]] = " Bengaluru","Asia",IF(Table32[[#This Row],[City]]=" Shanghai", "Asia", "Europe"))</f>
        <v>Asia</v>
      </c>
      <c r="Q114" s="26">
        <v>200001</v>
      </c>
      <c r="R114" s="26" t="s">
        <v>38</v>
      </c>
      <c r="S114" s="26"/>
      <c r="T114" s="28">
        <v>4200</v>
      </c>
      <c r="U114" s="26"/>
      <c r="V114" s="33">
        <f>IF(S114&lt;&gt;"",S114,IF(T114&lt;&gt;"",T114*(0.005462),IF(U114&lt;&gt;"",U114*(0.00952),"")))</f>
        <v>22.9404</v>
      </c>
      <c r="W114" s="37">
        <f t="shared" si="19"/>
        <v>26.702625599999998</v>
      </c>
      <c r="X114" s="26">
        <v>1300</v>
      </c>
      <c r="Y114" s="31">
        <v>0</v>
      </c>
      <c r="Z114" s="32">
        <f t="shared" si="14"/>
        <v>0</v>
      </c>
      <c r="AA114" s="38">
        <f t="shared" si="15"/>
        <v>34713.413279999993</v>
      </c>
    </row>
    <row r="115" spans="1:27">
      <c r="A115" s="25">
        <v>114</v>
      </c>
      <c r="B115" s="26" t="s">
        <v>35</v>
      </c>
      <c r="C115" s="26" t="s">
        <v>36</v>
      </c>
      <c r="D115" s="26" t="str">
        <f t="shared" si="16"/>
        <v>Fang Liu</v>
      </c>
      <c r="E115" s="26" t="s">
        <v>73</v>
      </c>
      <c r="F115" s="26" t="s">
        <v>29</v>
      </c>
      <c r="G115" s="26">
        <v>18</v>
      </c>
      <c r="H115" s="26" t="s">
        <v>31</v>
      </c>
      <c r="I115" s="26" t="str">
        <f t="shared" si="17"/>
        <v>Min 18 - Max 28 mph</v>
      </c>
      <c r="J115" s="26">
        <v>25</v>
      </c>
      <c r="K115" s="26" t="s">
        <v>99</v>
      </c>
      <c r="L115" s="26" t="str">
        <f t="shared" si="18"/>
        <v>40233,35 meters</v>
      </c>
      <c r="M115" s="26" t="s">
        <v>43</v>
      </c>
      <c r="N115" s="26" t="s">
        <v>117</v>
      </c>
      <c r="O115" s="26" t="s">
        <v>112</v>
      </c>
      <c r="P115" s="26" t="str">
        <f>IF(Table32[[#This Row],[City]] = " Bengaluru","Asia",IF(Table32[[#This Row],[City]]=" Shanghai", "Asia", "Europe"))</f>
        <v>Asia</v>
      </c>
      <c r="Q115" s="26">
        <v>200001</v>
      </c>
      <c r="R115" s="26" t="s">
        <v>38</v>
      </c>
      <c r="S115" s="26">
        <v>1000</v>
      </c>
      <c r="T115" s="28"/>
      <c r="U115" s="26"/>
      <c r="V115" s="33">
        <f>IF(S115&lt;&gt;"",S115,IF(T115&lt;&gt;"",T115*(0.005462),IF(U115&lt;&gt;"",U115*(0.00952),"")))</f>
        <v>1000</v>
      </c>
      <c r="W115" s="37">
        <f t="shared" si="19"/>
        <v>1164</v>
      </c>
      <c r="X115" s="26">
        <v>750</v>
      </c>
      <c r="Y115" s="31">
        <v>0</v>
      </c>
      <c r="Z115" s="32">
        <f t="shared" si="14"/>
        <v>0</v>
      </c>
      <c r="AA115" s="38">
        <f t="shared" si="15"/>
        <v>873000</v>
      </c>
    </row>
    <row r="116" spans="1:27">
      <c r="A116" s="25">
        <v>115</v>
      </c>
      <c r="B116" s="26" t="s">
        <v>45</v>
      </c>
      <c r="C116" s="26" t="s">
        <v>46</v>
      </c>
      <c r="D116" s="26" t="str">
        <f t="shared" si="16"/>
        <v>Jonas Fischer</v>
      </c>
      <c r="E116" s="26" t="s">
        <v>73</v>
      </c>
      <c r="F116" s="26" t="s">
        <v>16</v>
      </c>
      <c r="G116" s="26">
        <v>15</v>
      </c>
      <c r="H116" s="26" t="s">
        <v>18</v>
      </c>
      <c r="I116" s="26" t="str">
        <f t="shared" si="17"/>
        <v>Min 15 - Max 30 mph</v>
      </c>
      <c r="J116" s="26">
        <v>30</v>
      </c>
      <c r="K116" s="26" t="s">
        <v>99</v>
      </c>
      <c r="L116" s="26" t="str">
        <f t="shared" si="18"/>
        <v>48280,02 meters</v>
      </c>
      <c r="M116" s="26" t="s">
        <v>48</v>
      </c>
      <c r="N116" s="26" t="s">
        <v>124</v>
      </c>
      <c r="O116" s="26" t="s">
        <v>125</v>
      </c>
      <c r="P116" s="26" t="str">
        <f>IF(Table32[[#This Row],[City]] = " Bengaluru","Asia",IF(Table32[[#This Row],[City]]=" Shanghai", "Asia", "Europe"))</f>
        <v>Europe</v>
      </c>
      <c r="Q116" s="26">
        <v>20095</v>
      </c>
      <c r="R116" s="26" t="s">
        <v>49</v>
      </c>
      <c r="S116" s="26">
        <v>800</v>
      </c>
      <c r="T116" s="28"/>
      <c r="U116" s="26"/>
      <c r="V116" s="33">
        <f>IF(S116&lt;&gt;"",S116,IF(T116&lt;&gt;"",T116*(0.005462),IF(U116&lt;&gt;"",U116*(0.00952),"")))</f>
        <v>800</v>
      </c>
      <c r="W116" s="37">
        <f t="shared" si="19"/>
        <v>931.19999999999993</v>
      </c>
      <c r="X116" s="26">
        <v>140</v>
      </c>
      <c r="Y116" s="31">
        <v>0</v>
      </c>
      <c r="Z116" s="32">
        <f t="shared" si="14"/>
        <v>0</v>
      </c>
      <c r="AA116" s="38">
        <f t="shared" si="15"/>
        <v>130367.99999999999</v>
      </c>
    </row>
    <row r="117" spans="1:27">
      <c r="A117" s="25">
        <v>116</v>
      </c>
      <c r="B117" s="26" t="s">
        <v>45</v>
      </c>
      <c r="C117" s="26" t="s">
        <v>46</v>
      </c>
      <c r="D117" s="26" t="str">
        <f t="shared" si="16"/>
        <v>Jonas Fischer</v>
      </c>
      <c r="E117" s="26" t="s">
        <v>73</v>
      </c>
      <c r="F117" s="26" t="s">
        <v>23</v>
      </c>
      <c r="G117" s="26">
        <v>17.515000000000001</v>
      </c>
      <c r="H117" s="26" t="s">
        <v>25</v>
      </c>
      <c r="I117" s="26" t="str">
        <f t="shared" si="17"/>
        <v>Min 17,515 - Max 35 mph</v>
      </c>
      <c r="J117" s="26">
        <v>40</v>
      </c>
      <c r="K117" s="26" t="s">
        <v>99</v>
      </c>
      <c r="L117" s="26" t="str">
        <f t="shared" si="18"/>
        <v>64373,36 meters</v>
      </c>
      <c r="M117" s="26" t="s">
        <v>51</v>
      </c>
      <c r="N117" s="26" t="s">
        <v>127</v>
      </c>
      <c r="O117" s="26" t="s">
        <v>125</v>
      </c>
      <c r="P117" s="26" t="str">
        <f>IF(Table32[[#This Row],[City]] = " Bengaluru","Asia",IF(Table32[[#This Row],[City]]=" Shanghai", "Asia", "Europe"))</f>
        <v>Europe</v>
      </c>
      <c r="Q117" s="26">
        <v>20095</v>
      </c>
      <c r="R117" s="26" t="s">
        <v>49</v>
      </c>
      <c r="S117" s="26">
        <v>950</v>
      </c>
      <c r="T117" s="28"/>
      <c r="U117" s="26"/>
      <c r="V117" s="33">
        <f>IF(S117&lt;&gt;"",S117,IF(T117&lt;&gt;"",T117*(0.005462),IF(U117&lt;&gt;"",U117*(0.00952),"")))</f>
        <v>950</v>
      </c>
      <c r="W117" s="37">
        <f t="shared" si="19"/>
        <v>1105.8</v>
      </c>
      <c r="X117" s="26">
        <v>300</v>
      </c>
      <c r="Y117" s="31">
        <v>0</v>
      </c>
      <c r="Z117" s="32">
        <f t="shared" si="14"/>
        <v>0</v>
      </c>
      <c r="AA117" s="38">
        <f t="shared" si="15"/>
        <v>331740</v>
      </c>
    </row>
    <row r="118" spans="1:27">
      <c r="A118" s="25">
        <v>117</v>
      </c>
      <c r="B118" s="26" t="s">
        <v>45</v>
      </c>
      <c r="C118" s="26" t="s">
        <v>46</v>
      </c>
      <c r="D118" s="26" t="str">
        <f t="shared" si="16"/>
        <v>Jonas Fischer</v>
      </c>
      <c r="E118" s="26" t="s">
        <v>73</v>
      </c>
      <c r="F118" s="26" t="s">
        <v>29</v>
      </c>
      <c r="G118" s="26">
        <v>18</v>
      </c>
      <c r="H118" s="26" t="s">
        <v>31</v>
      </c>
      <c r="I118" s="26" t="str">
        <f t="shared" si="17"/>
        <v>Min 18 - Max 28 mph</v>
      </c>
      <c r="J118" s="26">
        <v>25</v>
      </c>
      <c r="K118" s="26" t="s">
        <v>99</v>
      </c>
      <c r="L118" s="26" t="str">
        <f t="shared" si="18"/>
        <v>40233,35 meters</v>
      </c>
      <c r="M118" s="26" t="s">
        <v>53</v>
      </c>
      <c r="N118" s="26" t="s">
        <v>128</v>
      </c>
      <c r="O118" s="26" t="s">
        <v>125</v>
      </c>
      <c r="P118" s="26" t="str">
        <f>IF(Table32[[#This Row],[City]] = " Bengaluru","Asia",IF(Table32[[#This Row],[City]]=" Shanghai", "Asia", "Europe"))</f>
        <v>Europe</v>
      </c>
      <c r="Q118" s="26">
        <v>20095</v>
      </c>
      <c r="R118" s="26" t="s">
        <v>49</v>
      </c>
      <c r="S118" s="26">
        <v>950</v>
      </c>
      <c r="T118" s="28"/>
      <c r="U118" s="26"/>
      <c r="V118" s="33">
        <f>IF(S118&lt;&gt;"",S118,IF(T118&lt;&gt;"",T118*(0.005462),IF(U118&lt;&gt;"",U118*(0.00952),"")))</f>
        <v>950</v>
      </c>
      <c r="W118" s="37">
        <f t="shared" si="19"/>
        <v>1105.8</v>
      </c>
      <c r="X118" s="26">
        <v>220</v>
      </c>
      <c r="Y118" s="31">
        <v>0</v>
      </c>
      <c r="Z118" s="32">
        <f t="shared" si="14"/>
        <v>0</v>
      </c>
      <c r="AA118" s="38">
        <f t="shared" si="15"/>
        <v>243276</v>
      </c>
    </row>
    <row r="119" spans="1:27">
      <c r="A119" s="25">
        <v>118</v>
      </c>
      <c r="B119" s="26" t="s">
        <v>55</v>
      </c>
      <c r="C119" s="26" t="s">
        <v>56</v>
      </c>
      <c r="D119" s="26" t="str">
        <f t="shared" si="16"/>
        <v>Théo Bernard</v>
      </c>
      <c r="E119" s="26" t="s">
        <v>73</v>
      </c>
      <c r="F119" s="26" t="s">
        <v>16</v>
      </c>
      <c r="G119" s="26">
        <v>15</v>
      </c>
      <c r="H119" s="26" t="s">
        <v>18</v>
      </c>
      <c r="I119" s="26" t="str">
        <f t="shared" si="17"/>
        <v>Min 15 - Max 30 mph</v>
      </c>
      <c r="J119" s="26">
        <v>30</v>
      </c>
      <c r="K119" s="26" t="s">
        <v>99</v>
      </c>
      <c r="L119" s="26" t="str">
        <f t="shared" si="18"/>
        <v>48280,02 meters</v>
      </c>
      <c r="M119" s="26" t="s">
        <v>57</v>
      </c>
      <c r="N119" s="26" t="s">
        <v>130</v>
      </c>
      <c r="O119" s="26" t="s">
        <v>131</v>
      </c>
      <c r="P119" s="26" t="str">
        <f>IF(Table32[[#This Row],[City]] = " Bengaluru","Asia",IF(Table32[[#This Row],[City]]=" Shanghai", "Asia", "Europe"))</f>
        <v>Europe</v>
      </c>
      <c r="Q119" s="26">
        <v>75005</v>
      </c>
      <c r="R119" s="26" t="s">
        <v>58</v>
      </c>
      <c r="S119" s="26">
        <v>1100</v>
      </c>
      <c r="T119" s="28"/>
      <c r="U119" s="26"/>
      <c r="V119" s="33">
        <f>IF(S119&lt;&gt;"",S119,IF(T119&lt;&gt;"",T119*(0.005462),IF(U119&lt;&gt;"",U119*(0.00952),"")))</f>
        <v>1100</v>
      </c>
      <c r="W119" s="37">
        <f t="shared" si="19"/>
        <v>1280.3999999999999</v>
      </c>
      <c r="X119" s="26">
        <v>130</v>
      </c>
      <c r="Y119" s="31">
        <v>0</v>
      </c>
      <c r="Z119" s="32">
        <f t="shared" si="14"/>
        <v>0</v>
      </c>
      <c r="AA119" s="38">
        <f t="shared" si="15"/>
        <v>166451.99999999997</v>
      </c>
    </row>
    <row r="120" spans="1:27">
      <c r="A120" s="25">
        <v>119</v>
      </c>
      <c r="B120" s="26" t="s">
        <v>55</v>
      </c>
      <c r="C120" s="26" t="s">
        <v>56</v>
      </c>
      <c r="D120" s="26" t="str">
        <f t="shared" si="16"/>
        <v>Théo Bernard</v>
      </c>
      <c r="E120" s="26" t="s">
        <v>73</v>
      </c>
      <c r="F120" s="26" t="s">
        <v>23</v>
      </c>
      <c r="G120" s="26">
        <v>20</v>
      </c>
      <c r="H120" s="26" t="s">
        <v>25</v>
      </c>
      <c r="I120" s="26" t="str">
        <f t="shared" si="17"/>
        <v>Min 20 - Max 35 mph</v>
      </c>
      <c r="J120" s="26">
        <v>40</v>
      </c>
      <c r="K120" s="26" t="s">
        <v>99</v>
      </c>
      <c r="L120" s="26" t="str">
        <f t="shared" si="18"/>
        <v>64373,36 meters</v>
      </c>
      <c r="M120" s="26" t="s">
        <v>61</v>
      </c>
      <c r="N120" s="26" t="s">
        <v>132</v>
      </c>
      <c r="O120" s="26" t="s">
        <v>131</v>
      </c>
      <c r="P120" s="26" t="str">
        <f>IF(Table32[[#This Row],[City]] = " Bengaluru","Asia",IF(Table32[[#This Row],[City]]=" Shanghai", "Asia", "Europe"))</f>
        <v>Europe</v>
      </c>
      <c r="Q120" s="26">
        <v>75005</v>
      </c>
      <c r="R120" s="26" t="s">
        <v>58</v>
      </c>
      <c r="S120" s="26">
        <v>900</v>
      </c>
      <c r="T120" s="28"/>
      <c r="U120" s="26"/>
      <c r="V120" s="33">
        <f>IF(S120&lt;&gt;"",S120,IF(T120&lt;&gt;"",T120*(0.005462),IF(U120&lt;&gt;"",U120*(0.00952),"")))</f>
        <v>900</v>
      </c>
      <c r="W120" s="37">
        <f t="shared" si="19"/>
        <v>1047.5999999999999</v>
      </c>
      <c r="X120" s="26">
        <v>290</v>
      </c>
      <c r="Y120" s="31">
        <v>0</v>
      </c>
      <c r="Z120" s="32">
        <f t="shared" si="14"/>
        <v>0</v>
      </c>
      <c r="AA120" s="38">
        <f t="shared" si="15"/>
        <v>303804</v>
      </c>
    </row>
    <row r="121" spans="1:27">
      <c r="A121" s="25">
        <v>120</v>
      </c>
      <c r="B121" s="26" t="s">
        <v>55</v>
      </c>
      <c r="C121" s="26" t="s">
        <v>56</v>
      </c>
      <c r="D121" s="26" t="str">
        <f t="shared" si="16"/>
        <v>Théo Bernard</v>
      </c>
      <c r="E121" s="26" t="s">
        <v>73</v>
      </c>
      <c r="F121" s="26" t="s">
        <v>29</v>
      </c>
      <c r="G121" s="26">
        <v>18</v>
      </c>
      <c r="H121" s="26" t="s">
        <v>31</v>
      </c>
      <c r="I121" s="26" t="str">
        <f t="shared" si="17"/>
        <v>Min 18 - Max 28 mph</v>
      </c>
      <c r="J121" s="26">
        <v>25</v>
      </c>
      <c r="K121" s="26" t="s">
        <v>99</v>
      </c>
      <c r="L121" s="26" t="str">
        <f t="shared" si="18"/>
        <v>40233,35 meters</v>
      </c>
      <c r="M121" s="26" t="s">
        <v>63</v>
      </c>
      <c r="N121" s="26" t="s">
        <v>133</v>
      </c>
      <c r="O121" s="26" t="s">
        <v>131</v>
      </c>
      <c r="P121" s="26" t="str">
        <f>IF(Table32[[#This Row],[City]] = " Bengaluru","Asia",IF(Table32[[#This Row],[City]]=" Shanghai", "Asia", "Europe"))</f>
        <v>Europe</v>
      </c>
      <c r="Q121" s="26">
        <v>75005</v>
      </c>
      <c r="R121" s="26" t="s">
        <v>58</v>
      </c>
      <c r="S121" s="26">
        <v>1050</v>
      </c>
      <c r="T121" s="28"/>
      <c r="U121" s="26"/>
      <c r="V121" s="33">
        <f>IF(S121&lt;&gt;"",S121,IF(T121&lt;&gt;"",T121*(0.005462),IF(U121&lt;&gt;"",U121*(0.00952),"")))</f>
        <v>1050</v>
      </c>
      <c r="W121" s="37">
        <f t="shared" si="19"/>
        <v>1222.1999999999998</v>
      </c>
      <c r="X121" s="26">
        <v>270</v>
      </c>
      <c r="Y121" s="31">
        <v>0</v>
      </c>
      <c r="Z121" s="32">
        <f t="shared" si="14"/>
        <v>0</v>
      </c>
      <c r="AA121" s="38">
        <f t="shared" si="15"/>
        <v>329993.99999999994</v>
      </c>
    </row>
    <row r="122" spans="1:27">
      <c r="A122" s="25">
        <v>121</v>
      </c>
      <c r="B122" s="26" t="s">
        <v>13</v>
      </c>
      <c r="C122" s="26" t="s">
        <v>14</v>
      </c>
      <c r="D122" s="26" t="str">
        <f t="shared" si="16"/>
        <v>Sanya Joshi</v>
      </c>
      <c r="E122" s="26" t="s">
        <v>74</v>
      </c>
      <c r="F122" s="26" t="s">
        <v>16</v>
      </c>
      <c r="G122" s="26">
        <v>15</v>
      </c>
      <c r="H122" s="26" t="s">
        <v>18</v>
      </c>
      <c r="I122" s="26" t="str">
        <f t="shared" si="17"/>
        <v>Min 15 - Max 30 mph</v>
      </c>
      <c r="J122" s="26">
        <v>30</v>
      </c>
      <c r="K122" s="26" t="s">
        <v>99</v>
      </c>
      <c r="L122" s="26" t="str">
        <f t="shared" si="18"/>
        <v>48280,02 meters</v>
      </c>
      <c r="M122" s="26" t="s">
        <v>20</v>
      </c>
      <c r="N122" s="26" t="s">
        <v>101</v>
      </c>
      <c r="O122" s="26" t="s">
        <v>102</v>
      </c>
      <c r="P122" s="26" t="str">
        <f>IF(Table32[[#This Row],[City]] = " Bengaluru","Asia",IF(Table32[[#This Row],[City]]=" Shanghai", "Asia", "Europe"))</f>
        <v>Asia</v>
      </c>
      <c r="Q122" s="26">
        <v>560001</v>
      </c>
      <c r="R122" s="26" t="s">
        <v>21</v>
      </c>
      <c r="S122" s="26"/>
      <c r="T122" s="28"/>
      <c r="U122" s="29">
        <v>30000</v>
      </c>
      <c r="V122" s="33">
        <f>IF(S122&lt;&gt;"",S122,IF(T122&lt;&gt;"",T122*(0.005462),IF(U122&lt;&gt;"",U122*(0.00952),"")))</f>
        <v>285.60000000000002</v>
      </c>
      <c r="W122" s="37">
        <f t="shared" si="19"/>
        <v>332.4384</v>
      </c>
      <c r="X122" s="26">
        <v>180</v>
      </c>
      <c r="Y122" s="31">
        <v>15</v>
      </c>
      <c r="Z122" s="32">
        <f t="shared" si="14"/>
        <v>0.15</v>
      </c>
      <c r="AA122" s="38">
        <f t="shared" si="15"/>
        <v>50863.075199999999</v>
      </c>
    </row>
    <row r="123" spans="1:27">
      <c r="A123" s="25">
        <v>122</v>
      </c>
      <c r="B123" s="26" t="s">
        <v>13</v>
      </c>
      <c r="C123" s="26" t="s">
        <v>14</v>
      </c>
      <c r="D123" s="26" t="str">
        <f t="shared" si="16"/>
        <v>Sanya Joshi</v>
      </c>
      <c r="E123" s="26" t="s">
        <v>74</v>
      </c>
      <c r="F123" s="26" t="s">
        <v>23</v>
      </c>
      <c r="G123" s="26">
        <v>20</v>
      </c>
      <c r="H123" s="26" t="s">
        <v>25</v>
      </c>
      <c r="I123" s="26" t="str">
        <f t="shared" si="17"/>
        <v>Min 20 - Max 35 mph</v>
      </c>
      <c r="J123" s="26">
        <v>64.37</v>
      </c>
      <c r="K123" s="26" t="s">
        <v>115</v>
      </c>
      <c r="L123" s="26" t="str">
        <f t="shared" si="18"/>
        <v>64,37 meters</v>
      </c>
      <c r="M123" s="26" t="s">
        <v>27</v>
      </c>
      <c r="N123" s="26" t="s">
        <v>106</v>
      </c>
      <c r="O123" s="26" t="s">
        <v>102</v>
      </c>
      <c r="P123" s="26" t="str">
        <f>IF(Table32[[#This Row],[City]] = " Bengaluru","Asia",IF(Table32[[#This Row],[City]]=" Shanghai", "Asia", "Europe"))</f>
        <v>Asia</v>
      </c>
      <c r="Q123" s="26">
        <v>560001</v>
      </c>
      <c r="R123" s="26" t="s">
        <v>21</v>
      </c>
      <c r="S123" s="26"/>
      <c r="T123" s="28"/>
      <c r="U123" s="29">
        <v>25000</v>
      </c>
      <c r="V123" s="33">
        <f>IF(S123&lt;&gt;"",S123,IF(T123&lt;&gt;"",T123*(0.005462),IF(U123&lt;&gt;"",U123*(0.00952),"")))</f>
        <v>238.00000000000003</v>
      </c>
      <c r="W123" s="37">
        <f t="shared" si="19"/>
        <v>277.03200000000004</v>
      </c>
      <c r="X123" s="26">
        <v>450</v>
      </c>
      <c r="Y123" s="31">
        <v>15</v>
      </c>
      <c r="Z123" s="32">
        <f t="shared" si="14"/>
        <v>0.15</v>
      </c>
      <c r="AA123" s="38">
        <f t="shared" si="15"/>
        <v>105964.74000000002</v>
      </c>
    </row>
    <row r="124" spans="1:27">
      <c r="A124" s="25">
        <v>123</v>
      </c>
      <c r="B124" s="26" t="s">
        <v>13</v>
      </c>
      <c r="C124" s="26" t="s">
        <v>14</v>
      </c>
      <c r="D124" s="26" t="str">
        <f t="shared" si="16"/>
        <v>Sanya Joshi</v>
      </c>
      <c r="E124" s="26" t="s">
        <v>74</v>
      </c>
      <c r="F124" s="26" t="s">
        <v>29</v>
      </c>
      <c r="G124" s="26">
        <v>18</v>
      </c>
      <c r="H124" s="26" t="s">
        <v>31</v>
      </c>
      <c r="I124" s="26" t="str">
        <f t="shared" si="17"/>
        <v>Min 18 - Max 28 mph</v>
      </c>
      <c r="J124" s="26">
        <v>25</v>
      </c>
      <c r="K124" s="26" t="s">
        <v>99</v>
      </c>
      <c r="L124" s="26" t="str">
        <f t="shared" si="18"/>
        <v>40233,35 meters</v>
      </c>
      <c r="M124" s="26" t="s">
        <v>33</v>
      </c>
      <c r="N124" s="26" t="s">
        <v>109</v>
      </c>
      <c r="O124" s="26" t="s">
        <v>102</v>
      </c>
      <c r="P124" s="26" t="str">
        <f>IF(Table32[[#This Row],[City]] = " Bengaluru","Asia",IF(Table32[[#This Row],[City]]=" Shanghai", "Asia", "Europe"))</f>
        <v>Asia</v>
      </c>
      <c r="Q124" s="26">
        <v>560001</v>
      </c>
      <c r="R124" s="26" t="s">
        <v>21</v>
      </c>
      <c r="S124" s="26"/>
      <c r="T124" s="28"/>
      <c r="U124" s="29">
        <v>22000</v>
      </c>
      <c r="V124" s="33">
        <f>IF(S124&lt;&gt;"",S124,IF(T124&lt;&gt;"",T124*(0.005462),IF(U124&lt;&gt;"",U124*(0.00952),"")))</f>
        <v>209.44000000000003</v>
      </c>
      <c r="W124" s="37">
        <f t="shared" si="19"/>
        <v>243.78816</v>
      </c>
      <c r="X124" s="26">
        <v>300</v>
      </c>
      <c r="Y124" s="31">
        <v>15</v>
      </c>
      <c r="Z124" s="32">
        <f t="shared" si="14"/>
        <v>0.15</v>
      </c>
      <c r="AA124" s="38">
        <f t="shared" si="15"/>
        <v>62165.980800000005</v>
      </c>
    </row>
    <row r="125" spans="1:27">
      <c r="A125" s="25">
        <v>124</v>
      </c>
      <c r="B125" s="26" t="s">
        <v>35</v>
      </c>
      <c r="C125" s="26" t="s">
        <v>36</v>
      </c>
      <c r="D125" s="26" t="str">
        <f t="shared" si="16"/>
        <v>Fang Liu</v>
      </c>
      <c r="E125" s="26" t="s">
        <v>74</v>
      </c>
      <c r="F125" s="26" t="s">
        <v>16</v>
      </c>
      <c r="G125" s="26">
        <v>15</v>
      </c>
      <c r="H125" s="26" t="s">
        <v>18</v>
      </c>
      <c r="I125" s="26" t="str">
        <f t="shared" si="17"/>
        <v>Min 15 - Max 30 mph</v>
      </c>
      <c r="J125" s="26">
        <v>30</v>
      </c>
      <c r="K125" s="26" t="s">
        <v>99</v>
      </c>
      <c r="L125" s="26" t="str">
        <f t="shared" si="18"/>
        <v>48280,02 meters</v>
      </c>
      <c r="M125" s="26" t="s">
        <v>37</v>
      </c>
      <c r="N125" s="26" t="s">
        <v>111</v>
      </c>
      <c r="O125" s="26" t="s">
        <v>112</v>
      </c>
      <c r="P125" s="26" t="str">
        <f>IF(Table32[[#This Row],[City]] = " Bengaluru","Asia",IF(Table32[[#This Row],[City]]=" Shanghai", "Asia", "Europe"))</f>
        <v>Asia</v>
      </c>
      <c r="Q125" s="26">
        <v>200001</v>
      </c>
      <c r="R125" s="26" t="s">
        <v>38</v>
      </c>
      <c r="S125" s="26"/>
      <c r="T125" s="28">
        <v>5000</v>
      </c>
      <c r="U125" s="26"/>
      <c r="V125" s="33">
        <f>IF(S125&lt;&gt;"",S125,IF(T125&lt;&gt;"",T125*(0.005462),IF(U125&lt;&gt;"",U125*(0.00952),"")))</f>
        <v>27.31</v>
      </c>
      <c r="W125" s="37">
        <f t="shared" si="19"/>
        <v>31.788839999999997</v>
      </c>
      <c r="X125" s="26">
        <v>600</v>
      </c>
      <c r="Y125" s="31">
        <v>15</v>
      </c>
      <c r="Z125" s="32">
        <f t="shared" si="14"/>
        <v>0.15</v>
      </c>
      <c r="AA125" s="38">
        <f t="shared" si="15"/>
        <v>16212.308399999996</v>
      </c>
    </row>
    <row r="126" spans="1:27">
      <c r="A126" s="25">
        <v>125</v>
      </c>
      <c r="B126" s="26" t="s">
        <v>35</v>
      </c>
      <c r="C126" s="26" t="s">
        <v>36</v>
      </c>
      <c r="D126" s="26" t="str">
        <f t="shared" si="16"/>
        <v>Fang Liu</v>
      </c>
      <c r="E126" s="26" t="s">
        <v>74</v>
      </c>
      <c r="F126" s="26" t="s">
        <v>23</v>
      </c>
      <c r="G126" s="26">
        <v>20</v>
      </c>
      <c r="H126" s="26" t="s">
        <v>25</v>
      </c>
      <c r="I126" s="26" t="str">
        <f t="shared" si="17"/>
        <v>Min 20 - Max 35 mph</v>
      </c>
      <c r="J126" s="26">
        <v>40</v>
      </c>
      <c r="K126" s="26" t="s">
        <v>99</v>
      </c>
      <c r="L126" s="26" t="str">
        <f t="shared" si="18"/>
        <v>64373,36 meters</v>
      </c>
      <c r="M126" s="26" t="s">
        <v>40</v>
      </c>
      <c r="N126" s="26" t="s">
        <v>113</v>
      </c>
      <c r="O126" s="26" t="s">
        <v>112</v>
      </c>
      <c r="P126" s="26" t="str">
        <f>IF(Table32[[#This Row],[City]] = " Bengaluru","Asia",IF(Table32[[#This Row],[City]]=" Shanghai", "Asia", "Europe"))</f>
        <v>Asia</v>
      </c>
      <c r="Q126" s="26">
        <v>200001</v>
      </c>
      <c r="R126" s="26" t="s">
        <v>38</v>
      </c>
      <c r="S126" s="26"/>
      <c r="T126" s="28">
        <v>3500</v>
      </c>
      <c r="U126" s="26"/>
      <c r="V126" s="33">
        <f>IF(S126&lt;&gt;"",S126,IF(T126&lt;&gt;"",T126*(0.005462),IF(U126&lt;&gt;"",U126*(0.00952),"")))</f>
        <v>19.117000000000001</v>
      </c>
      <c r="W126" s="37">
        <f t="shared" si="19"/>
        <v>22.252188</v>
      </c>
      <c r="X126" s="26">
        <v>1500</v>
      </c>
      <c r="Y126" s="31">
        <v>15</v>
      </c>
      <c r="Z126" s="32">
        <f t="shared" si="14"/>
        <v>0.15</v>
      </c>
      <c r="AA126" s="38">
        <f t="shared" si="15"/>
        <v>28371.539699999998</v>
      </c>
    </row>
    <row r="127" spans="1:27">
      <c r="A127" s="25">
        <v>126</v>
      </c>
      <c r="B127" s="26" t="s">
        <v>35</v>
      </c>
      <c r="C127" s="26" t="s">
        <v>36</v>
      </c>
      <c r="D127" s="26" t="str">
        <f t="shared" si="16"/>
        <v>Fang Liu</v>
      </c>
      <c r="E127" s="26" t="s">
        <v>74</v>
      </c>
      <c r="F127" s="26" t="s">
        <v>29</v>
      </c>
      <c r="G127" s="26">
        <v>18</v>
      </c>
      <c r="H127" s="26" t="s">
        <v>31</v>
      </c>
      <c r="I127" s="26" t="str">
        <f t="shared" si="17"/>
        <v>Min 18 - Max 28 mph</v>
      </c>
      <c r="J127" s="26">
        <v>25</v>
      </c>
      <c r="K127" s="26" t="s">
        <v>99</v>
      </c>
      <c r="L127" s="26" t="str">
        <f t="shared" si="18"/>
        <v>40233,35 meters</v>
      </c>
      <c r="M127" s="26" t="s">
        <v>43</v>
      </c>
      <c r="N127" s="26" t="s">
        <v>117</v>
      </c>
      <c r="O127" s="26" t="s">
        <v>112</v>
      </c>
      <c r="P127" s="26" t="str">
        <f>IF(Table32[[#This Row],[City]] = " Bengaluru","Asia",IF(Table32[[#This Row],[City]]=" Shanghai", "Asia", "Europe"))</f>
        <v>Asia</v>
      </c>
      <c r="Q127" s="26">
        <v>200001</v>
      </c>
      <c r="R127" s="26" t="s">
        <v>38</v>
      </c>
      <c r="S127" s="26"/>
      <c r="T127" s="28">
        <v>4200</v>
      </c>
      <c r="U127" s="26"/>
      <c r="V127" s="33">
        <f>IF(S127&lt;&gt;"",S127,IF(T127&lt;&gt;"",T127*(0.005462),IF(U127&lt;&gt;"",U127*(0.00952),"")))</f>
        <v>22.9404</v>
      </c>
      <c r="W127" s="37">
        <f t="shared" si="19"/>
        <v>26.702625599999998</v>
      </c>
      <c r="X127" s="26">
        <v>800</v>
      </c>
      <c r="Y127" s="31">
        <v>15</v>
      </c>
      <c r="Z127" s="32">
        <f t="shared" si="14"/>
        <v>0.15</v>
      </c>
      <c r="AA127" s="38">
        <f t="shared" si="15"/>
        <v>18157.785407999996</v>
      </c>
    </row>
    <row r="128" spans="1:27">
      <c r="A128" s="25">
        <v>127</v>
      </c>
      <c r="B128" s="26" t="s">
        <v>45</v>
      </c>
      <c r="C128" s="26" t="s">
        <v>46</v>
      </c>
      <c r="D128" s="26" t="str">
        <f t="shared" si="16"/>
        <v>Jonas Fischer</v>
      </c>
      <c r="E128" s="26" t="s">
        <v>74</v>
      </c>
      <c r="F128" s="26" t="s">
        <v>16</v>
      </c>
      <c r="G128" s="26">
        <v>15</v>
      </c>
      <c r="H128" s="26" t="s">
        <v>18</v>
      </c>
      <c r="I128" s="26" t="str">
        <f t="shared" si="17"/>
        <v>Min 15 - Max 30 mph</v>
      </c>
      <c r="J128" s="26">
        <v>30</v>
      </c>
      <c r="K128" s="26" t="s">
        <v>99</v>
      </c>
      <c r="L128" s="26" t="str">
        <f t="shared" si="18"/>
        <v>48280,02 meters</v>
      </c>
      <c r="M128" s="26" t="s">
        <v>48</v>
      </c>
      <c r="N128" s="26" t="s">
        <v>124</v>
      </c>
      <c r="O128" s="26" t="s">
        <v>125</v>
      </c>
      <c r="P128" s="26" t="str">
        <f>IF(Table32[[#This Row],[City]] = " Bengaluru","Asia",IF(Table32[[#This Row],[City]]=" Shanghai", "Asia", "Europe"))</f>
        <v>Europe</v>
      </c>
      <c r="Q128" s="26">
        <v>20095</v>
      </c>
      <c r="R128" s="26" t="s">
        <v>49</v>
      </c>
      <c r="S128" s="26">
        <v>1000</v>
      </c>
      <c r="T128" s="28"/>
      <c r="U128" s="26"/>
      <c r="V128" s="33">
        <f>IF(S128&lt;&gt;"",S128,IF(T128&lt;&gt;"",T128*(0.005462),IF(U128&lt;&gt;"",U128*(0.00952),"")))</f>
        <v>1000</v>
      </c>
      <c r="W128" s="37">
        <f t="shared" si="19"/>
        <v>1164</v>
      </c>
      <c r="X128" s="26">
        <v>160</v>
      </c>
      <c r="Y128" s="31">
        <v>15</v>
      </c>
      <c r="Z128" s="32">
        <f t="shared" si="14"/>
        <v>0.15</v>
      </c>
      <c r="AA128" s="38">
        <f t="shared" si="15"/>
        <v>158304</v>
      </c>
    </row>
    <row r="129" spans="1:27">
      <c r="A129" s="25">
        <v>128</v>
      </c>
      <c r="B129" s="26" t="s">
        <v>45</v>
      </c>
      <c r="C129" s="26" t="s">
        <v>46</v>
      </c>
      <c r="D129" s="26" t="str">
        <f t="shared" si="16"/>
        <v>Jonas Fischer</v>
      </c>
      <c r="E129" s="26" t="s">
        <v>74</v>
      </c>
      <c r="F129" s="26" t="s">
        <v>23</v>
      </c>
      <c r="G129" s="26">
        <v>20</v>
      </c>
      <c r="H129" s="26" t="s">
        <v>25</v>
      </c>
      <c r="I129" s="26" t="str">
        <f t="shared" si="17"/>
        <v>Min 20 - Max 35 mph</v>
      </c>
      <c r="J129" s="26">
        <v>40</v>
      </c>
      <c r="K129" s="26" t="s">
        <v>99</v>
      </c>
      <c r="L129" s="26" t="str">
        <f t="shared" si="18"/>
        <v>64373,36 meters</v>
      </c>
      <c r="M129" s="26" t="s">
        <v>51</v>
      </c>
      <c r="N129" s="26" t="s">
        <v>127</v>
      </c>
      <c r="O129" s="26" t="s">
        <v>125</v>
      </c>
      <c r="P129" s="26" t="str">
        <f>IF(Table32[[#This Row],[City]] = " Bengaluru","Asia",IF(Table32[[#This Row],[City]]=" Shanghai", "Asia", "Europe"))</f>
        <v>Europe</v>
      </c>
      <c r="Q129" s="26">
        <v>20095</v>
      </c>
      <c r="R129" s="26" t="s">
        <v>49</v>
      </c>
      <c r="S129" s="26">
        <v>800</v>
      </c>
      <c r="T129" s="28"/>
      <c r="U129" s="26"/>
      <c r="V129" s="33">
        <f>IF(S129&lt;&gt;"",S129,IF(T129&lt;&gt;"",T129*(0.005462),IF(U129&lt;&gt;"",U129*(0.00952),"")))</f>
        <v>800</v>
      </c>
      <c r="W129" s="37">
        <f t="shared" si="19"/>
        <v>931.19999999999993</v>
      </c>
      <c r="X129" s="26">
        <v>320</v>
      </c>
      <c r="Y129" s="31">
        <v>15</v>
      </c>
      <c r="Z129" s="32">
        <f t="shared" si="14"/>
        <v>0.15</v>
      </c>
      <c r="AA129" s="38">
        <f t="shared" si="15"/>
        <v>253286.39999999999</v>
      </c>
    </row>
    <row r="130" spans="1:27">
      <c r="A130" s="25">
        <v>129</v>
      </c>
      <c r="B130" s="26" t="s">
        <v>45</v>
      </c>
      <c r="C130" s="26" t="s">
        <v>46</v>
      </c>
      <c r="D130" s="26" t="str">
        <f t="shared" ref="D130:D145" si="20">B130 &amp; " " &amp; C130</f>
        <v>Jonas Fischer</v>
      </c>
      <c r="E130" s="26" t="s">
        <v>74</v>
      </c>
      <c r="F130" s="26" t="s">
        <v>29</v>
      </c>
      <c r="G130" s="26">
        <v>18</v>
      </c>
      <c r="H130" s="26" t="s">
        <v>31</v>
      </c>
      <c r="I130" s="26" t="str">
        <f t="shared" ref="I130:I145" si="21">"Min " &amp; G130 &amp; " - Max " &amp; H130</f>
        <v>Min 18 - Max 28 mph</v>
      </c>
      <c r="J130" s="26">
        <v>25</v>
      </c>
      <c r="K130" s="26" t="s">
        <v>99</v>
      </c>
      <c r="L130" s="26" t="str">
        <f t="shared" ref="L130:L145" si="22">IF(K130 = "miles", J130*1609.334,J130) &amp; " meters"</f>
        <v>40233,35 meters</v>
      </c>
      <c r="M130" s="26" t="s">
        <v>53</v>
      </c>
      <c r="N130" s="26" t="s">
        <v>128</v>
      </c>
      <c r="O130" s="26" t="s">
        <v>125</v>
      </c>
      <c r="P130" s="26" t="str">
        <f>IF(Table32[[#This Row],[City]] = " Bengaluru","Asia",IF(Table32[[#This Row],[City]]=" Shanghai", "Asia", "Europe"))</f>
        <v>Europe</v>
      </c>
      <c r="Q130" s="26">
        <v>20095</v>
      </c>
      <c r="R130" s="26" t="s">
        <v>49</v>
      </c>
      <c r="S130" s="26">
        <v>950</v>
      </c>
      <c r="T130" s="28"/>
      <c r="U130" s="26"/>
      <c r="V130" s="33">
        <f>IF(S130&lt;&gt;"",S130,IF(T130&lt;&gt;"",T130*(0.005462),IF(U130&lt;&gt;"",U130*(0.00952),"")))</f>
        <v>950</v>
      </c>
      <c r="W130" s="37">
        <f t="shared" ref="W130:W145" si="23">V130*1.164</f>
        <v>1105.8</v>
      </c>
      <c r="X130" s="26">
        <v>250</v>
      </c>
      <c r="Y130" s="31">
        <v>15</v>
      </c>
      <c r="Z130" s="32">
        <f t="shared" si="14"/>
        <v>0.15</v>
      </c>
      <c r="AA130" s="38">
        <f t="shared" si="15"/>
        <v>234982.5</v>
      </c>
    </row>
    <row r="131" spans="1:27">
      <c r="A131" s="25">
        <v>130</v>
      </c>
      <c r="B131" s="26" t="s">
        <v>55</v>
      </c>
      <c r="C131" s="26" t="s">
        <v>56</v>
      </c>
      <c r="D131" s="26" t="str">
        <f t="shared" si="20"/>
        <v>Théo Bernard</v>
      </c>
      <c r="E131" s="26" t="s">
        <v>74</v>
      </c>
      <c r="F131" s="26" t="s">
        <v>16</v>
      </c>
      <c r="G131" s="26">
        <v>15</v>
      </c>
      <c r="H131" s="26" t="s">
        <v>18</v>
      </c>
      <c r="I131" s="26" t="str">
        <f t="shared" si="21"/>
        <v>Min 15 - Max 30 mph</v>
      </c>
      <c r="J131" s="26">
        <v>30</v>
      </c>
      <c r="K131" s="26" t="s">
        <v>99</v>
      </c>
      <c r="L131" s="26" t="str">
        <f t="shared" si="22"/>
        <v>48280,02 meters</v>
      </c>
      <c r="M131" s="26" t="s">
        <v>57</v>
      </c>
      <c r="N131" s="26" t="s">
        <v>130</v>
      </c>
      <c r="O131" s="26" t="s">
        <v>131</v>
      </c>
      <c r="P131" s="26" t="str">
        <f>IF(Table32[[#This Row],[City]] = " Bengaluru","Asia",IF(Table32[[#This Row],[City]]=" Shanghai", "Asia", "Europe"))</f>
        <v>Europe</v>
      </c>
      <c r="Q131" s="26">
        <v>75005</v>
      </c>
      <c r="R131" s="26" t="s">
        <v>58</v>
      </c>
      <c r="S131" s="26">
        <v>1100</v>
      </c>
      <c r="T131" s="28"/>
      <c r="U131" s="26"/>
      <c r="V131" s="33">
        <f>IF(S131&lt;&gt;"",S131,IF(T131&lt;&gt;"",T131*(0.005462),IF(U131&lt;&gt;"",U131*(0.00952),"")))</f>
        <v>1100</v>
      </c>
      <c r="W131" s="37">
        <f t="shared" si="23"/>
        <v>1280.3999999999999</v>
      </c>
      <c r="X131" s="26">
        <v>140</v>
      </c>
      <c r="Y131" s="31">
        <v>15</v>
      </c>
      <c r="Z131" s="32">
        <f t="shared" ref="Z131:Z145" si="24">Y131*0.01</f>
        <v>0.15</v>
      </c>
      <c r="AA131" s="38">
        <f t="shared" ref="AA131:AA145" si="25">W131*X131*(100%-Z131)</f>
        <v>152367.59999999998</v>
      </c>
    </row>
    <row r="132" spans="1:27">
      <c r="A132" s="25">
        <v>131</v>
      </c>
      <c r="B132" s="26" t="s">
        <v>55</v>
      </c>
      <c r="C132" s="26" t="s">
        <v>56</v>
      </c>
      <c r="D132" s="26" t="str">
        <f t="shared" si="20"/>
        <v>Théo Bernard</v>
      </c>
      <c r="E132" s="26" t="s">
        <v>74</v>
      </c>
      <c r="F132" s="26" t="s">
        <v>23</v>
      </c>
      <c r="G132" s="26">
        <v>20</v>
      </c>
      <c r="H132" s="26" t="s">
        <v>25</v>
      </c>
      <c r="I132" s="26" t="str">
        <f t="shared" si="21"/>
        <v>Min 20 - Max 35 mph</v>
      </c>
      <c r="J132" s="26">
        <v>40</v>
      </c>
      <c r="K132" s="26" t="s">
        <v>99</v>
      </c>
      <c r="L132" s="26" t="str">
        <f t="shared" si="22"/>
        <v>64373,36 meters</v>
      </c>
      <c r="M132" s="26" t="s">
        <v>61</v>
      </c>
      <c r="N132" s="26" t="s">
        <v>132</v>
      </c>
      <c r="O132" s="26" t="s">
        <v>131</v>
      </c>
      <c r="P132" s="26" t="str">
        <f>IF(Table32[[#This Row],[City]] = " Bengaluru","Asia",IF(Table32[[#This Row],[City]]=" Shanghai", "Asia", "Europe"))</f>
        <v>Europe</v>
      </c>
      <c r="Q132" s="26">
        <v>75005</v>
      </c>
      <c r="R132" s="26" t="s">
        <v>58</v>
      </c>
      <c r="S132" s="26">
        <v>900</v>
      </c>
      <c r="T132" s="28"/>
      <c r="U132" s="26"/>
      <c r="V132" s="33">
        <f>IF(S132&lt;&gt;"",S132,IF(T132&lt;&gt;"",T132*(0.005462),IF(U132&lt;&gt;"",U132*(0.00952),"")))</f>
        <v>900</v>
      </c>
      <c r="W132" s="37">
        <f t="shared" si="23"/>
        <v>1047.5999999999999</v>
      </c>
      <c r="X132" s="26">
        <v>310</v>
      </c>
      <c r="Y132" s="31">
        <v>15</v>
      </c>
      <c r="Z132" s="32">
        <f t="shared" si="24"/>
        <v>0.15</v>
      </c>
      <c r="AA132" s="38">
        <f t="shared" si="25"/>
        <v>276042.59999999998</v>
      </c>
    </row>
    <row r="133" spans="1:27">
      <c r="A133" s="25">
        <v>132</v>
      </c>
      <c r="B133" s="26" t="s">
        <v>55</v>
      </c>
      <c r="C133" s="26" t="s">
        <v>56</v>
      </c>
      <c r="D133" s="26" t="str">
        <f t="shared" si="20"/>
        <v>Théo Bernard</v>
      </c>
      <c r="E133" s="26" t="s">
        <v>74</v>
      </c>
      <c r="F133" s="26" t="s">
        <v>29</v>
      </c>
      <c r="G133" s="26">
        <v>18</v>
      </c>
      <c r="H133" s="26" t="s">
        <v>31</v>
      </c>
      <c r="I133" s="26" t="str">
        <f t="shared" si="21"/>
        <v>Min 18 - Max 28 mph</v>
      </c>
      <c r="J133" s="26">
        <v>25</v>
      </c>
      <c r="K133" s="26" t="s">
        <v>99</v>
      </c>
      <c r="L133" s="26" t="str">
        <f t="shared" si="22"/>
        <v>40233,35 meters</v>
      </c>
      <c r="M133" s="26" t="s">
        <v>63</v>
      </c>
      <c r="N133" s="26" t="s">
        <v>133</v>
      </c>
      <c r="O133" s="26" t="s">
        <v>131</v>
      </c>
      <c r="P133" s="26" t="str">
        <f>IF(Table32[[#This Row],[City]] = " Bengaluru","Asia",IF(Table32[[#This Row],[City]]=" Shanghai", "Asia", "Europe"))</f>
        <v>Europe</v>
      </c>
      <c r="Q133" s="26">
        <v>75005</v>
      </c>
      <c r="R133" s="26" t="s">
        <v>58</v>
      </c>
      <c r="S133" s="26">
        <v>900</v>
      </c>
      <c r="T133" s="28"/>
      <c r="U133" s="26"/>
      <c r="V133" s="33">
        <f>IF(S133&lt;&gt;"",S133,IF(T133&lt;&gt;"",T133*(0.005462),IF(U133&lt;&gt;"",U133*(0.00952),"")))</f>
        <v>900</v>
      </c>
      <c r="W133" s="37">
        <f t="shared" si="23"/>
        <v>1047.5999999999999</v>
      </c>
      <c r="X133" s="26">
        <v>290</v>
      </c>
      <c r="Y133" s="31">
        <v>15</v>
      </c>
      <c r="Z133" s="32">
        <f t="shared" si="24"/>
        <v>0.15</v>
      </c>
      <c r="AA133" s="38">
        <f t="shared" si="25"/>
        <v>258233.4</v>
      </c>
    </row>
    <row r="134" spans="1:27">
      <c r="A134" s="25">
        <v>133</v>
      </c>
      <c r="B134" s="26" t="s">
        <v>13</v>
      </c>
      <c r="C134" s="26" t="s">
        <v>14</v>
      </c>
      <c r="D134" s="26" t="str">
        <f t="shared" si="20"/>
        <v>Sanya Joshi</v>
      </c>
      <c r="E134" s="26" t="s">
        <v>75</v>
      </c>
      <c r="F134" s="26" t="s">
        <v>16</v>
      </c>
      <c r="G134" s="26">
        <v>15</v>
      </c>
      <c r="H134" s="26" t="s">
        <v>18</v>
      </c>
      <c r="I134" s="26" t="str">
        <f t="shared" si="21"/>
        <v>Min 15 - Max 30 mph</v>
      </c>
      <c r="J134" s="26">
        <v>30</v>
      </c>
      <c r="K134" s="26" t="s">
        <v>99</v>
      </c>
      <c r="L134" s="26" t="str">
        <f t="shared" si="22"/>
        <v>48280,02 meters</v>
      </c>
      <c r="M134" s="26" t="s">
        <v>20</v>
      </c>
      <c r="N134" s="26" t="s">
        <v>101</v>
      </c>
      <c r="O134" s="26" t="s">
        <v>102</v>
      </c>
      <c r="P134" s="26" t="str">
        <f>IF(Table32[[#This Row],[City]] = " Bengaluru","Asia",IF(Table32[[#This Row],[City]]=" Shanghai", "Asia", "Europe"))</f>
        <v>Asia</v>
      </c>
      <c r="Q134" s="26">
        <v>560001</v>
      </c>
      <c r="R134" s="26" t="s">
        <v>21</v>
      </c>
      <c r="S134" s="26">
        <v>1050</v>
      </c>
      <c r="T134" s="28"/>
      <c r="U134" s="26"/>
      <c r="V134" s="33">
        <f>IF(S134&lt;&gt;"",S134,IF(T134&lt;&gt;"",T134*(0.005462),IF(U134&lt;&gt;"",U134*(0.00952),"")))</f>
        <v>1050</v>
      </c>
      <c r="W134" s="37">
        <f t="shared" si="23"/>
        <v>1222.1999999999998</v>
      </c>
      <c r="X134" s="26">
        <v>250</v>
      </c>
      <c r="Y134" s="31">
        <v>20</v>
      </c>
      <c r="Z134" s="32">
        <f t="shared" si="24"/>
        <v>0.2</v>
      </c>
      <c r="AA134" s="38">
        <f t="shared" si="25"/>
        <v>244439.99999999997</v>
      </c>
    </row>
    <row r="135" spans="1:27">
      <c r="A135" s="25">
        <v>134</v>
      </c>
      <c r="B135" s="26" t="s">
        <v>13</v>
      </c>
      <c r="C135" s="26" t="s">
        <v>14</v>
      </c>
      <c r="D135" s="26" t="str">
        <f t="shared" si="20"/>
        <v>Sanya Joshi</v>
      </c>
      <c r="E135" s="26" t="s">
        <v>75</v>
      </c>
      <c r="F135" s="26" t="s">
        <v>23</v>
      </c>
      <c r="G135" s="26">
        <v>20</v>
      </c>
      <c r="H135" s="26" t="s">
        <v>25</v>
      </c>
      <c r="I135" s="26" t="str">
        <f t="shared" si="21"/>
        <v>Min 20 - Max 35 mph</v>
      </c>
      <c r="J135" s="26">
        <v>40</v>
      </c>
      <c r="K135" s="26" t="s">
        <v>99</v>
      </c>
      <c r="L135" s="26" t="str">
        <f t="shared" si="22"/>
        <v>64373,36 meters</v>
      </c>
      <c r="M135" s="26" t="s">
        <v>27</v>
      </c>
      <c r="N135" s="26" t="s">
        <v>106</v>
      </c>
      <c r="O135" s="26" t="s">
        <v>102</v>
      </c>
      <c r="P135" s="26" t="str">
        <f>IF(Table32[[#This Row],[City]] = " Bengaluru","Asia",IF(Table32[[#This Row],[City]]=" Shanghai", "Asia", "Europe"))</f>
        <v>Asia</v>
      </c>
      <c r="Q135" s="26">
        <v>560001</v>
      </c>
      <c r="R135" s="26" t="s">
        <v>21</v>
      </c>
      <c r="S135" s="26"/>
      <c r="T135" s="28"/>
      <c r="U135" s="29">
        <v>30000</v>
      </c>
      <c r="V135" s="33">
        <f>IF(S135&lt;&gt;"",S135,IF(T135&lt;&gt;"",T135*(0.005462),IF(U135&lt;&gt;"",U135*(0.00952),"")))</f>
        <v>285.60000000000002</v>
      </c>
      <c r="W135" s="37">
        <f t="shared" si="23"/>
        <v>332.4384</v>
      </c>
      <c r="X135" s="26">
        <v>600</v>
      </c>
      <c r="Y135" s="31">
        <v>20</v>
      </c>
      <c r="Z135" s="32">
        <f t="shared" si="24"/>
        <v>0.2</v>
      </c>
      <c r="AA135" s="38">
        <f t="shared" si="25"/>
        <v>159570.43200000003</v>
      </c>
    </row>
    <row r="136" spans="1:27">
      <c r="A136" s="25">
        <v>135</v>
      </c>
      <c r="B136" s="26" t="s">
        <v>13</v>
      </c>
      <c r="C136" s="26" t="s">
        <v>14</v>
      </c>
      <c r="D136" s="26" t="str">
        <f t="shared" si="20"/>
        <v>Sanya Joshi</v>
      </c>
      <c r="E136" s="26" t="s">
        <v>75</v>
      </c>
      <c r="F136" s="26" t="s">
        <v>29</v>
      </c>
      <c r="G136" s="26">
        <v>18</v>
      </c>
      <c r="H136" s="26" t="s">
        <v>31</v>
      </c>
      <c r="I136" s="26" t="str">
        <f t="shared" si="21"/>
        <v>Min 18 - Max 28 mph</v>
      </c>
      <c r="J136" s="26">
        <v>40.229999999999997</v>
      </c>
      <c r="K136" s="26" t="s">
        <v>115</v>
      </c>
      <c r="L136" s="26" t="str">
        <f t="shared" si="22"/>
        <v>40,23 meters</v>
      </c>
      <c r="M136" s="26" t="s">
        <v>33</v>
      </c>
      <c r="N136" s="26" t="s">
        <v>109</v>
      </c>
      <c r="O136" s="26" t="s">
        <v>102</v>
      </c>
      <c r="P136" s="26" t="str">
        <f>IF(Table32[[#This Row],[City]] = " Bengaluru","Asia",IF(Table32[[#This Row],[City]]=" Shanghai", "Asia", "Europe"))</f>
        <v>Asia</v>
      </c>
      <c r="Q136" s="26">
        <v>560001</v>
      </c>
      <c r="R136" s="26" t="s">
        <v>21</v>
      </c>
      <c r="S136" s="26"/>
      <c r="T136" s="28"/>
      <c r="U136" s="29">
        <v>25000</v>
      </c>
      <c r="V136" s="33">
        <f>IF(S136&lt;&gt;"",S136,IF(T136&lt;&gt;"",T136*(0.005462),IF(U136&lt;&gt;"",U136*(0.00952),"")))</f>
        <v>238.00000000000003</v>
      </c>
      <c r="W136" s="37">
        <f t="shared" si="23"/>
        <v>277.03200000000004</v>
      </c>
      <c r="X136" s="26">
        <v>400</v>
      </c>
      <c r="Y136" s="31">
        <v>20</v>
      </c>
      <c r="Z136" s="32">
        <f t="shared" si="24"/>
        <v>0.2</v>
      </c>
      <c r="AA136" s="38">
        <f t="shared" si="25"/>
        <v>88650.24000000002</v>
      </c>
    </row>
    <row r="137" spans="1:27">
      <c r="A137" s="25">
        <v>136</v>
      </c>
      <c r="B137" s="26" t="s">
        <v>35</v>
      </c>
      <c r="C137" s="26" t="s">
        <v>36</v>
      </c>
      <c r="D137" s="26" t="str">
        <f t="shared" si="20"/>
        <v>Fang Liu</v>
      </c>
      <c r="E137" s="26" t="s">
        <v>75</v>
      </c>
      <c r="F137" s="26" t="s">
        <v>16</v>
      </c>
      <c r="G137" s="26">
        <v>15</v>
      </c>
      <c r="H137" s="26" t="s">
        <v>18</v>
      </c>
      <c r="I137" s="26" t="str">
        <f t="shared" si="21"/>
        <v>Min 15 - Max 30 mph</v>
      </c>
      <c r="J137" s="26">
        <v>30</v>
      </c>
      <c r="K137" s="26" t="s">
        <v>99</v>
      </c>
      <c r="L137" s="26" t="str">
        <f t="shared" si="22"/>
        <v>48280,02 meters</v>
      </c>
      <c r="M137" s="26" t="s">
        <v>37</v>
      </c>
      <c r="N137" s="26" t="s">
        <v>111</v>
      </c>
      <c r="O137" s="26" t="s">
        <v>112</v>
      </c>
      <c r="P137" s="26" t="str">
        <f>IF(Table32[[#This Row],[City]] = " Bengaluru","Asia",IF(Table32[[#This Row],[City]]=" Shanghai", "Asia", "Europe"))</f>
        <v>Asia</v>
      </c>
      <c r="Q137" s="26">
        <v>200001</v>
      </c>
      <c r="R137" s="26" t="s">
        <v>38</v>
      </c>
      <c r="S137" s="26"/>
      <c r="T137" s="28"/>
      <c r="U137" s="29">
        <v>22000</v>
      </c>
      <c r="V137" s="33">
        <f>IF(S137&lt;&gt;"",S137,IF(T137&lt;&gt;"",T137*(0.005462),IF(U137&lt;&gt;"",U137*(0.00952),"")))</f>
        <v>209.44000000000003</v>
      </c>
      <c r="W137" s="37">
        <f t="shared" si="23"/>
        <v>243.78816</v>
      </c>
      <c r="X137" s="26">
        <v>800</v>
      </c>
      <c r="Y137" s="31">
        <v>20</v>
      </c>
      <c r="Z137" s="32">
        <f t="shared" si="24"/>
        <v>0.2</v>
      </c>
      <c r="AA137" s="38">
        <f t="shared" si="25"/>
        <v>156024.42240000001</v>
      </c>
    </row>
    <row r="138" spans="1:27">
      <c r="A138" s="25">
        <v>137</v>
      </c>
      <c r="B138" s="26" t="s">
        <v>35</v>
      </c>
      <c r="C138" s="26" t="s">
        <v>36</v>
      </c>
      <c r="D138" s="26" t="str">
        <f t="shared" si="20"/>
        <v>Fang Liu</v>
      </c>
      <c r="E138" s="26" t="s">
        <v>75</v>
      </c>
      <c r="F138" s="26" t="s">
        <v>23</v>
      </c>
      <c r="G138" s="26">
        <v>17.515000000000001</v>
      </c>
      <c r="H138" s="26" t="s">
        <v>25</v>
      </c>
      <c r="I138" s="26" t="str">
        <f t="shared" si="21"/>
        <v>Min 17,515 - Max 35 mph</v>
      </c>
      <c r="J138" s="26">
        <v>64.37</v>
      </c>
      <c r="K138" s="26" t="s">
        <v>115</v>
      </c>
      <c r="L138" s="26" t="str">
        <f t="shared" si="22"/>
        <v>64,37 meters</v>
      </c>
      <c r="M138" s="26" t="s">
        <v>40</v>
      </c>
      <c r="N138" s="26" t="s">
        <v>113</v>
      </c>
      <c r="O138" s="26" t="s">
        <v>112</v>
      </c>
      <c r="P138" s="26" t="str">
        <f>IF(Table32[[#This Row],[City]] = " Bengaluru","Asia",IF(Table32[[#This Row],[City]]=" Shanghai", "Asia", "Europe"))</f>
        <v>Asia</v>
      </c>
      <c r="Q138" s="26">
        <v>200001</v>
      </c>
      <c r="R138" s="26" t="s">
        <v>38</v>
      </c>
      <c r="S138" s="26"/>
      <c r="T138" s="28">
        <v>5000</v>
      </c>
      <c r="U138" s="26"/>
      <c r="V138" s="33">
        <f>IF(S138&lt;&gt;"",S138,IF(T138&lt;&gt;"",T138*(0.005462),IF(U138&lt;&gt;"",U138*(0.00952),"")))</f>
        <v>27.31</v>
      </c>
      <c r="W138" s="37">
        <f t="shared" si="23"/>
        <v>31.788839999999997</v>
      </c>
      <c r="X138" s="26">
        <v>2000</v>
      </c>
      <c r="Y138" s="31">
        <v>20</v>
      </c>
      <c r="Z138" s="32">
        <f t="shared" si="24"/>
        <v>0.2</v>
      </c>
      <c r="AA138" s="38">
        <f t="shared" si="25"/>
        <v>50862.144</v>
      </c>
    </row>
    <row r="139" spans="1:27">
      <c r="A139" s="25">
        <v>138</v>
      </c>
      <c r="B139" s="26" t="s">
        <v>35</v>
      </c>
      <c r="C139" s="26" t="s">
        <v>36</v>
      </c>
      <c r="D139" s="26" t="str">
        <f t="shared" si="20"/>
        <v>Fang Liu</v>
      </c>
      <c r="E139" s="26" t="s">
        <v>75</v>
      </c>
      <c r="F139" s="26" t="s">
        <v>29</v>
      </c>
      <c r="G139" s="26">
        <v>18</v>
      </c>
      <c r="H139" s="26" t="s">
        <v>31</v>
      </c>
      <c r="I139" s="26" t="str">
        <f t="shared" si="21"/>
        <v>Min 18 - Max 28 mph</v>
      </c>
      <c r="J139" s="26">
        <v>25</v>
      </c>
      <c r="K139" s="26" t="s">
        <v>99</v>
      </c>
      <c r="L139" s="26" t="str">
        <f t="shared" si="22"/>
        <v>40233,35 meters</v>
      </c>
      <c r="M139" s="26" t="s">
        <v>43</v>
      </c>
      <c r="N139" s="26" t="s">
        <v>117</v>
      </c>
      <c r="O139" s="26" t="s">
        <v>112</v>
      </c>
      <c r="P139" s="26" t="str">
        <f>IF(Table32[[#This Row],[City]] = " Bengaluru","Asia",IF(Table32[[#This Row],[City]]=" Shanghai", "Asia", "Europe"))</f>
        <v>Asia</v>
      </c>
      <c r="Q139" s="26">
        <v>200001</v>
      </c>
      <c r="R139" s="26" t="s">
        <v>38</v>
      </c>
      <c r="S139" s="26"/>
      <c r="T139" s="28">
        <v>3500</v>
      </c>
      <c r="U139" s="26"/>
      <c r="V139" s="33">
        <f>IF(S139&lt;&gt;"",S139,IF(T139&lt;&gt;"",T139*(0.005462),IF(U139&lt;&gt;"",U139*(0.00952),"")))</f>
        <v>19.117000000000001</v>
      </c>
      <c r="W139" s="37">
        <f t="shared" si="23"/>
        <v>22.252188</v>
      </c>
      <c r="X139" s="26">
        <v>1200</v>
      </c>
      <c r="Y139" s="31">
        <v>20</v>
      </c>
      <c r="Z139" s="32">
        <f t="shared" si="24"/>
        <v>0.2</v>
      </c>
      <c r="AA139" s="38">
        <f t="shared" si="25"/>
        <v>21362.100480000001</v>
      </c>
    </row>
    <row r="140" spans="1:27">
      <c r="A140" s="25">
        <v>139</v>
      </c>
      <c r="B140" s="26" t="s">
        <v>45</v>
      </c>
      <c r="C140" s="26" t="s">
        <v>46</v>
      </c>
      <c r="D140" s="26" t="str">
        <f t="shared" si="20"/>
        <v>Jonas Fischer</v>
      </c>
      <c r="E140" s="26" t="s">
        <v>75</v>
      </c>
      <c r="F140" s="26" t="s">
        <v>16</v>
      </c>
      <c r="G140" s="26">
        <v>15</v>
      </c>
      <c r="H140" s="26" t="s">
        <v>18</v>
      </c>
      <c r="I140" s="26" t="str">
        <f t="shared" si="21"/>
        <v>Min 15 - Max 30 mph</v>
      </c>
      <c r="J140" s="26">
        <v>48.28</v>
      </c>
      <c r="K140" s="26" t="s">
        <v>115</v>
      </c>
      <c r="L140" s="26" t="str">
        <f t="shared" si="22"/>
        <v>48,28 meters</v>
      </c>
      <c r="M140" s="26" t="s">
        <v>48</v>
      </c>
      <c r="N140" s="26" t="s">
        <v>124</v>
      </c>
      <c r="O140" s="26" t="s">
        <v>125</v>
      </c>
      <c r="P140" s="26" t="str">
        <f>IF(Table32[[#This Row],[City]] = " Bengaluru","Asia",IF(Table32[[#This Row],[City]]=" Shanghai", "Asia", "Europe"))</f>
        <v>Europe</v>
      </c>
      <c r="Q140" s="26">
        <v>20095</v>
      </c>
      <c r="R140" s="26" t="s">
        <v>49</v>
      </c>
      <c r="S140" s="26"/>
      <c r="T140" s="28">
        <v>4200</v>
      </c>
      <c r="U140" s="26"/>
      <c r="V140" s="33">
        <f>IF(S140&lt;&gt;"",S140,IF(T140&lt;&gt;"",T140*(0.005462),IF(U140&lt;&gt;"",U140*(0.00952),"")))</f>
        <v>22.9404</v>
      </c>
      <c r="W140" s="37">
        <f t="shared" si="23"/>
        <v>26.702625599999998</v>
      </c>
      <c r="X140" s="26">
        <v>200</v>
      </c>
      <c r="Y140" s="31">
        <v>20</v>
      </c>
      <c r="Z140" s="32">
        <f t="shared" si="24"/>
        <v>0.2</v>
      </c>
      <c r="AA140" s="38">
        <f t="shared" si="25"/>
        <v>4272.4200959999998</v>
      </c>
    </row>
    <row r="141" spans="1:27">
      <c r="A141" s="25">
        <v>140</v>
      </c>
      <c r="B141" s="26" t="s">
        <v>45</v>
      </c>
      <c r="C141" s="26" t="s">
        <v>46</v>
      </c>
      <c r="D141" s="26" t="str">
        <f t="shared" si="20"/>
        <v>Jonas Fischer</v>
      </c>
      <c r="E141" s="26" t="s">
        <v>75</v>
      </c>
      <c r="F141" s="26" t="s">
        <v>23</v>
      </c>
      <c r="G141" s="26">
        <v>20</v>
      </c>
      <c r="H141" s="26" t="s">
        <v>25</v>
      </c>
      <c r="I141" s="26" t="str">
        <f t="shared" si="21"/>
        <v>Min 20 - Max 35 mph</v>
      </c>
      <c r="J141" s="26">
        <v>64.37</v>
      </c>
      <c r="K141" s="26" t="s">
        <v>115</v>
      </c>
      <c r="L141" s="26" t="str">
        <f t="shared" si="22"/>
        <v>64,37 meters</v>
      </c>
      <c r="M141" s="26" t="s">
        <v>51</v>
      </c>
      <c r="N141" s="26" t="s">
        <v>127</v>
      </c>
      <c r="O141" s="26" t="s">
        <v>125</v>
      </c>
      <c r="P141" s="26" t="str">
        <f>IF(Table32[[#This Row],[City]] = " Bengaluru","Asia",IF(Table32[[#This Row],[City]]=" Shanghai", "Asia", "Europe"))</f>
        <v>Europe</v>
      </c>
      <c r="Q141" s="26">
        <v>20095</v>
      </c>
      <c r="R141" s="26" t="s">
        <v>49</v>
      </c>
      <c r="S141" s="26">
        <v>1000</v>
      </c>
      <c r="T141" s="28"/>
      <c r="U141" s="26"/>
      <c r="V141" s="33">
        <f>IF(S141&lt;&gt;"",S141,IF(T141&lt;&gt;"",T141*(0.005462),IF(U141&lt;&gt;"",U141*(0.00952),"")))</f>
        <v>1000</v>
      </c>
      <c r="W141" s="37">
        <f t="shared" si="23"/>
        <v>1164</v>
      </c>
      <c r="X141" s="26">
        <v>400</v>
      </c>
      <c r="Y141" s="31">
        <v>20</v>
      </c>
      <c r="Z141" s="32">
        <f t="shared" si="24"/>
        <v>0.2</v>
      </c>
      <c r="AA141" s="38">
        <f t="shared" si="25"/>
        <v>372480</v>
      </c>
    </row>
    <row r="142" spans="1:27">
      <c r="A142" s="25">
        <v>141</v>
      </c>
      <c r="B142" s="26" t="s">
        <v>45</v>
      </c>
      <c r="C142" s="26" t="s">
        <v>46</v>
      </c>
      <c r="D142" s="26" t="str">
        <f t="shared" si="20"/>
        <v>Jonas Fischer</v>
      </c>
      <c r="E142" s="26" t="s">
        <v>75</v>
      </c>
      <c r="F142" s="26" t="s">
        <v>29</v>
      </c>
      <c r="G142" s="26">
        <v>17.515000000000001</v>
      </c>
      <c r="H142" s="26" t="s">
        <v>31</v>
      </c>
      <c r="I142" s="26" t="str">
        <f t="shared" si="21"/>
        <v>Min 17,515 - Max 28 mph</v>
      </c>
      <c r="J142" s="26">
        <v>25</v>
      </c>
      <c r="K142" s="26" t="s">
        <v>99</v>
      </c>
      <c r="L142" s="26" t="str">
        <f t="shared" si="22"/>
        <v>40233,35 meters</v>
      </c>
      <c r="M142" s="26" t="s">
        <v>53</v>
      </c>
      <c r="N142" s="26" t="s">
        <v>128</v>
      </c>
      <c r="O142" s="26" t="s">
        <v>125</v>
      </c>
      <c r="P142" s="26" t="str">
        <f>IF(Table32[[#This Row],[City]] = " Bengaluru","Asia",IF(Table32[[#This Row],[City]]=" Shanghai", "Asia", "Europe"))</f>
        <v>Europe</v>
      </c>
      <c r="Q142" s="26">
        <v>20095</v>
      </c>
      <c r="R142" s="26" t="s">
        <v>49</v>
      </c>
      <c r="S142" s="26">
        <v>800</v>
      </c>
      <c r="T142" s="28"/>
      <c r="U142" s="26"/>
      <c r="V142" s="33">
        <f>IF(S142&lt;&gt;"",S142,IF(T142&lt;&gt;"",T142*(0.005462),IF(U142&lt;&gt;"",U142*(0.00952),"")))</f>
        <v>800</v>
      </c>
      <c r="W142" s="37">
        <f t="shared" si="23"/>
        <v>931.19999999999993</v>
      </c>
      <c r="X142" s="26">
        <v>350</v>
      </c>
      <c r="Y142" s="31">
        <v>20</v>
      </c>
      <c r="Z142" s="32">
        <f t="shared" si="24"/>
        <v>0.2</v>
      </c>
      <c r="AA142" s="38">
        <f t="shared" si="25"/>
        <v>260736</v>
      </c>
    </row>
    <row r="143" spans="1:27">
      <c r="A143" s="25">
        <v>142</v>
      </c>
      <c r="B143" s="26" t="s">
        <v>55</v>
      </c>
      <c r="C143" s="26" t="s">
        <v>56</v>
      </c>
      <c r="D143" s="26" t="str">
        <f t="shared" si="20"/>
        <v>Théo Bernard</v>
      </c>
      <c r="E143" s="26" t="s">
        <v>75</v>
      </c>
      <c r="F143" s="26" t="s">
        <v>16</v>
      </c>
      <c r="G143" s="26">
        <v>15</v>
      </c>
      <c r="H143" s="26" t="s">
        <v>18</v>
      </c>
      <c r="I143" s="26" t="str">
        <f t="shared" si="21"/>
        <v>Min 15 - Max 30 mph</v>
      </c>
      <c r="J143" s="26">
        <v>30</v>
      </c>
      <c r="K143" s="26" t="s">
        <v>99</v>
      </c>
      <c r="L143" s="26" t="str">
        <f t="shared" si="22"/>
        <v>48280,02 meters</v>
      </c>
      <c r="M143" s="26" t="s">
        <v>57</v>
      </c>
      <c r="N143" s="26" t="s">
        <v>130</v>
      </c>
      <c r="O143" s="26" t="s">
        <v>131</v>
      </c>
      <c r="P143" s="26" t="str">
        <f>IF(Table32[[#This Row],[City]] = " Bengaluru","Asia",IF(Table32[[#This Row],[City]]=" Shanghai", "Asia", "Europe"))</f>
        <v>Europe</v>
      </c>
      <c r="Q143" s="26">
        <v>75005</v>
      </c>
      <c r="R143" s="26" t="s">
        <v>58</v>
      </c>
      <c r="S143" s="26">
        <v>950</v>
      </c>
      <c r="T143" s="28"/>
      <c r="U143" s="26"/>
      <c r="V143" s="33">
        <f>IF(S143&lt;&gt;"",S143,IF(T143&lt;&gt;"",T143*(0.005462),IF(U143&lt;&gt;"",U143*(0.00952),"")))</f>
        <v>950</v>
      </c>
      <c r="W143" s="37">
        <f t="shared" si="23"/>
        <v>1105.8</v>
      </c>
      <c r="X143" s="26">
        <v>180</v>
      </c>
      <c r="Y143" s="31">
        <v>20</v>
      </c>
      <c r="Z143" s="32">
        <f t="shared" si="24"/>
        <v>0.2</v>
      </c>
      <c r="AA143" s="38">
        <f t="shared" si="25"/>
        <v>159235.20000000001</v>
      </c>
    </row>
    <row r="144" spans="1:27">
      <c r="A144" s="25">
        <v>143</v>
      </c>
      <c r="B144" s="26" t="s">
        <v>55</v>
      </c>
      <c r="C144" s="26" t="s">
        <v>56</v>
      </c>
      <c r="D144" s="26" t="str">
        <f t="shared" si="20"/>
        <v>Théo Bernard</v>
      </c>
      <c r="E144" s="26" t="s">
        <v>75</v>
      </c>
      <c r="F144" s="26" t="s">
        <v>23</v>
      </c>
      <c r="G144" s="26">
        <v>20</v>
      </c>
      <c r="H144" s="26" t="s">
        <v>25</v>
      </c>
      <c r="I144" s="26" t="str">
        <f t="shared" si="21"/>
        <v>Min 20 - Max 35 mph</v>
      </c>
      <c r="J144" s="26">
        <v>40</v>
      </c>
      <c r="K144" s="26" t="s">
        <v>99</v>
      </c>
      <c r="L144" s="26" t="str">
        <f t="shared" si="22"/>
        <v>64373,36 meters</v>
      </c>
      <c r="M144" s="26" t="s">
        <v>61</v>
      </c>
      <c r="N144" s="26" t="s">
        <v>132</v>
      </c>
      <c r="O144" s="26" t="s">
        <v>131</v>
      </c>
      <c r="P144" s="26" t="str">
        <f>IF(Table32[[#This Row],[City]] = " Bengaluru","Asia",IF(Table32[[#This Row],[City]]=" Shanghai", "Asia", "Europe"))</f>
        <v>Europe</v>
      </c>
      <c r="Q144" s="26">
        <v>75005</v>
      </c>
      <c r="R144" s="26" t="s">
        <v>58</v>
      </c>
      <c r="S144" s="26">
        <v>1100</v>
      </c>
      <c r="T144" s="28"/>
      <c r="U144" s="26"/>
      <c r="V144" s="33">
        <f>IF(S144&lt;&gt;"",S144,IF(T144&lt;&gt;"",T144*(0.005462),IF(U144&lt;&gt;"",U144*(0.00952),"")))</f>
        <v>1100</v>
      </c>
      <c r="W144" s="37">
        <f t="shared" si="23"/>
        <v>1280.3999999999999</v>
      </c>
      <c r="X144" s="26">
        <v>400</v>
      </c>
      <c r="Y144" s="31">
        <v>20</v>
      </c>
      <c r="Z144" s="32">
        <f t="shared" si="24"/>
        <v>0.2</v>
      </c>
      <c r="AA144" s="38">
        <f t="shared" si="25"/>
        <v>409728</v>
      </c>
    </row>
    <row r="145" spans="1:27">
      <c r="A145" s="25">
        <v>144</v>
      </c>
      <c r="B145" s="26" t="s">
        <v>55</v>
      </c>
      <c r="C145" s="26" t="s">
        <v>56</v>
      </c>
      <c r="D145" s="26" t="str">
        <f t="shared" si="20"/>
        <v>Théo Bernard</v>
      </c>
      <c r="E145" s="26" t="s">
        <v>75</v>
      </c>
      <c r="F145" s="26" t="s">
        <v>29</v>
      </c>
      <c r="G145" s="26">
        <v>18</v>
      </c>
      <c r="H145" s="26" t="s">
        <v>31</v>
      </c>
      <c r="I145" s="26" t="str">
        <f t="shared" si="21"/>
        <v>Min 18 - Max 28 mph</v>
      </c>
      <c r="J145" s="26">
        <v>25</v>
      </c>
      <c r="K145" s="26" t="s">
        <v>99</v>
      </c>
      <c r="L145" s="26" t="str">
        <f t="shared" si="22"/>
        <v>40233,35 meters</v>
      </c>
      <c r="M145" s="26" t="s">
        <v>63</v>
      </c>
      <c r="N145" s="26" t="s">
        <v>133</v>
      </c>
      <c r="O145" s="26" t="s">
        <v>131</v>
      </c>
      <c r="P145" s="26" t="str">
        <f>IF(Table32[[#This Row],[City]] = " Bengaluru","Asia",IF(Table32[[#This Row],[City]]=" Shanghai", "Asia", "Europe"))</f>
        <v>Europe</v>
      </c>
      <c r="Q145" s="26">
        <v>75005</v>
      </c>
      <c r="R145" s="26" t="s">
        <v>58</v>
      </c>
      <c r="S145" s="26">
        <v>900</v>
      </c>
      <c r="T145" s="28"/>
      <c r="U145" s="26"/>
      <c r="V145" s="33">
        <f>IF(S145&lt;&gt;"",S145,IF(T145&lt;&gt;"",T145*(0.005462),IF(U145&lt;&gt;"",U145*(0.00952),"")))</f>
        <v>900</v>
      </c>
      <c r="W145" s="37">
        <f t="shared" si="23"/>
        <v>1047.5999999999999</v>
      </c>
      <c r="X145" s="26">
        <v>360</v>
      </c>
      <c r="Y145" s="31">
        <v>20</v>
      </c>
      <c r="Z145" s="32">
        <f t="shared" si="24"/>
        <v>0.2</v>
      </c>
      <c r="AA145" s="38">
        <f t="shared" si="25"/>
        <v>301708.79999999999</v>
      </c>
    </row>
  </sheetData>
  <conditionalFormatting sqref="A2:A145">
    <cfRule type="duplicateValues" dxfId="59" priority="2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E8A6270632B74CA44318185654C11B" ma:contentTypeVersion="8" ma:contentTypeDescription="Create a new document." ma:contentTypeScope="" ma:versionID="77481fac2354b095101de9f20f93c7b9">
  <xsd:schema xmlns:xsd="http://www.w3.org/2001/XMLSchema" xmlns:xs="http://www.w3.org/2001/XMLSchema" xmlns:p="http://schemas.microsoft.com/office/2006/metadata/properties" xmlns:ns2="597a32d3-74d6-450e-99f4-564de56639a2" targetNamespace="http://schemas.microsoft.com/office/2006/metadata/properties" ma:root="true" ma:fieldsID="1cb477133849e8d412a41ccf963e1286" ns2:_="">
    <xsd:import namespace="597a32d3-74d6-450e-99f4-564de5663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32d3-74d6-450e-99f4-564de5663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E6073D-352C-4181-B0B4-96CED1010B2E}"/>
</file>

<file path=customXml/itemProps2.xml><?xml version="1.0" encoding="utf-8"?>
<ds:datastoreItem xmlns:ds="http://schemas.openxmlformats.org/officeDocument/2006/customXml" ds:itemID="{55576DF1-745B-4265-9756-4171903C407B}"/>
</file>

<file path=customXml/itemProps3.xml><?xml version="1.0" encoding="utf-8"?>
<ds:datastoreItem xmlns:ds="http://schemas.openxmlformats.org/officeDocument/2006/customXml" ds:itemID="{39765507-EBB5-457F-BA7F-BB14098A6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cp:keywords/>
  <dc:description/>
  <cp:lastModifiedBy/>
  <cp:revision/>
  <dcterms:created xsi:type="dcterms:W3CDTF">2024-10-18T18:00:41Z</dcterms:created>
  <dcterms:modified xsi:type="dcterms:W3CDTF">2026-01-09T14:59:28Z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