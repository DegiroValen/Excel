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0" documentId="8_{187988E2-70CC-4EF2-B566-F0709D0E4F5B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List1_ContactInfo" sheetId="1" r:id="rId1"/>
    <sheet name="List2_Department" sheetId="2" r:id="rId2"/>
    <sheet name="List3_Details" sheetId="3" r:id="rId3"/>
    <sheet name="Hoja creada por mi" sheetId="4" r:id="rId4"/>
    <sheet name="Tabla creada por mi" sheetId="5" r:id="rId5"/>
  </sheets>
  <definedNames>
    <definedName name="_xlnm._FilterDatabase" localSheetId="3" hidden="1">'Hoja creada por mi'!$A$1:$A$58</definedName>
  </definedNames>
  <calcPr calcId="191028"/>
  <pivotCaches>
    <pivotCache cacheId="20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7JcSuCf8WfZF+A/26XW/K9KHR8dYL5bVLXI1qpjaOU="/>
    </ext>
  </extLst>
</workbook>
</file>

<file path=xl/calcChain.xml><?xml version="1.0" encoding="utf-8"?>
<calcChain xmlns="http://schemas.openxmlformats.org/spreadsheetml/2006/main">
  <c r="K4" i="5" l="1"/>
  <c r="L4" i="5"/>
  <c r="M4" i="5"/>
  <c r="N4" i="5"/>
  <c r="O4" i="5"/>
  <c r="J4" i="5"/>
  <c r="K5" i="5"/>
  <c r="L5" i="5"/>
  <c r="M5" i="5"/>
  <c r="N5" i="5"/>
  <c r="O5" i="5"/>
  <c r="J5" i="5"/>
  <c r="H5" i="4"/>
  <c r="H3" i="4"/>
  <c r="H4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" i="3"/>
  <c r="F3" i="4"/>
  <c r="F4" i="4"/>
  <c r="F5" i="4"/>
  <c r="F6" i="4"/>
  <c r="F7" i="4"/>
  <c r="F8" i="4"/>
  <c r="F9" i="4"/>
  <c r="F10" i="4"/>
  <c r="F11" i="4"/>
  <c r="F12" i="4"/>
  <c r="F13" i="4"/>
  <c r="G13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G29" i="4" s="1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G49" i="4" s="1"/>
  <c r="F50" i="4"/>
  <c r="F51" i="4"/>
  <c r="F2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2" i="4"/>
  <c r="C46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7" i="4"/>
  <c r="C48" i="4"/>
  <c r="C49" i="4"/>
  <c r="C50" i="4"/>
  <c r="C51" i="4"/>
  <c r="C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G2" i="4" l="1"/>
  <c r="G51" i="4"/>
  <c r="G50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2" i="4"/>
  <c r="G11" i="4"/>
  <c r="G10" i="4"/>
  <c r="G9" i="4"/>
  <c r="G8" i="4"/>
  <c r="G7" i="4"/>
  <c r="G6" i="4"/>
  <c r="G5" i="4"/>
  <c r="G4" i="4"/>
  <c r="G3" i="4"/>
</calcChain>
</file>

<file path=xl/sharedStrings.xml><?xml version="1.0" encoding="utf-8"?>
<sst xmlns="http://schemas.openxmlformats.org/spreadsheetml/2006/main" count="803" uniqueCount="134">
  <si>
    <t>Name</t>
  </si>
  <si>
    <t>Email Address</t>
  </si>
  <si>
    <t>Attendee 1</t>
  </si>
  <si>
    <t>attendee1@company.com</t>
  </si>
  <si>
    <t>Attendee 2</t>
  </si>
  <si>
    <t>attendee2@company.com</t>
  </si>
  <si>
    <t>Attendee 3</t>
  </si>
  <si>
    <t>attendee3@company.com</t>
  </si>
  <si>
    <t>Attendee 4</t>
  </si>
  <si>
    <t>attendee4@company.com</t>
  </si>
  <si>
    <t>Attendee 5</t>
  </si>
  <si>
    <t>attendee5@company.com</t>
  </si>
  <si>
    <t>Attendee 6</t>
  </si>
  <si>
    <t>attendee6@company.com</t>
  </si>
  <si>
    <t>Attendee 7</t>
  </si>
  <si>
    <t>attendee7@company.com</t>
  </si>
  <si>
    <t>Attendee 8</t>
  </si>
  <si>
    <t>attendee8@company.com</t>
  </si>
  <si>
    <t>Attendee 9</t>
  </si>
  <si>
    <t>attendee9@company.com</t>
  </si>
  <si>
    <t>Attendee 10</t>
  </si>
  <si>
    <t>attendee10@company.com</t>
  </si>
  <si>
    <t>Attendee 11</t>
  </si>
  <si>
    <t>attendee11@company.com</t>
  </si>
  <si>
    <t>Attendee 12</t>
  </si>
  <si>
    <t>attendee12@company.com</t>
  </si>
  <si>
    <t>Attendee 13</t>
  </si>
  <si>
    <t>attendee13@company.com</t>
  </si>
  <si>
    <t>Attendee 14</t>
  </si>
  <si>
    <t>attendee14@company.com</t>
  </si>
  <si>
    <t>Attendee 15</t>
  </si>
  <si>
    <t>attendee15@company.com</t>
  </si>
  <si>
    <t>Attendee 16</t>
  </si>
  <si>
    <t>attendee16@company.com</t>
  </si>
  <si>
    <t>Attendee 17</t>
  </si>
  <si>
    <t>attendee17@company.com</t>
  </si>
  <si>
    <t>Attendee 18</t>
  </si>
  <si>
    <t>attendee18@company.com</t>
  </si>
  <si>
    <t>Attendee 19</t>
  </si>
  <si>
    <t>attendee19@company.com</t>
  </si>
  <si>
    <t>Attendee 20</t>
  </si>
  <si>
    <t>attendee20@company.com</t>
  </si>
  <si>
    <t>Attendee 21</t>
  </si>
  <si>
    <t>attendee21@company.com</t>
  </si>
  <si>
    <t>Attendee 22</t>
  </si>
  <si>
    <t>attendee22@company.com</t>
  </si>
  <si>
    <t>Attendee 23</t>
  </si>
  <si>
    <t>attendee23@company.com</t>
  </si>
  <si>
    <t>Attendee 24</t>
  </si>
  <si>
    <t>attendee24@company.com</t>
  </si>
  <si>
    <t>Attendee 25</t>
  </si>
  <si>
    <t>attendee25@company.com</t>
  </si>
  <si>
    <t>Attendee 26</t>
  </si>
  <si>
    <t>attendee26@company.com</t>
  </si>
  <si>
    <t>Attendee 27</t>
  </si>
  <si>
    <t>attendee27@company.com</t>
  </si>
  <si>
    <t>Attendee 28</t>
  </si>
  <si>
    <t>attendee28@company.com</t>
  </si>
  <si>
    <t>Attendee 29</t>
  </si>
  <si>
    <t>attendee29@company.com</t>
  </si>
  <si>
    <t>Attendee 30</t>
  </si>
  <si>
    <t>attendee30@company.com</t>
  </si>
  <si>
    <t>Attendee 31</t>
  </si>
  <si>
    <t>attendee31@company.com</t>
  </si>
  <si>
    <t>Attendee 32</t>
  </si>
  <si>
    <t>attendee32@company.com</t>
  </si>
  <si>
    <t>Attendee 33</t>
  </si>
  <si>
    <t>attendee33@company.com</t>
  </si>
  <si>
    <t>Attendee 34</t>
  </si>
  <si>
    <t>attendee34@company.com</t>
  </si>
  <si>
    <t>Attendee 35</t>
  </si>
  <si>
    <t>attendee35@company.com</t>
  </si>
  <si>
    <t>Attendee 36</t>
  </si>
  <si>
    <t>attendee36@company.com</t>
  </si>
  <si>
    <t>Attendee 37</t>
  </si>
  <si>
    <t>attendee37@company.com</t>
  </si>
  <si>
    <t>Attendee 38</t>
  </si>
  <si>
    <t>attendee38@company.com</t>
  </si>
  <si>
    <t>Attendee 39</t>
  </si>
  <si>
    <t>attendee39@company.com</t>
  </si>
  <si>
    <t>Attendee 40</t>
  </si>
  <si>
    <t>attendee40@company.com</t>
  </si>
  <si>
    <t>Attendee 41</t>
  </si>
  <si>
    <t>attendee41@company.com</t>
  </si>
  <si>
    <t>Attendee 42</t>
  </si>
  <si>
    <t>attendee42@company.com</t>
  </si>
  <si>
    <t>Attendee 43</t>
  </si>
  <si>
    <t>attendee43@company.com</t>
  </si>
  <si>
    <t>Attendee 44</t>
  </si>
  <si>
    <t>attendee44@company.com</t>
  </si>
  <si>
    <t>Attendee 45</t>
  </si>
  <si>
    <t>attendee45@company.com</t>
  </si>
  <si>
    <t>Attendee 46</t>
  </si>
  <si>
    <t>attendee46@company.com</t>
  </si>
  <si>
    <t>Attendee 47</t>
  </si>
  <si>
    <t>attendee47@company.com</t>
  </si>
  <si>
    <t>Attendee 48</t>
  </si>
  <si>
    <t>attendee48@company.com</t>
  </si>
  <si>
    <t>Attendee 49</t>
  </si>
  <si>
    <t>attendee49@company.com</t>
  </si>
  <si>
    <t>Attendee 50</t>
  </si>
  <si>
    <t>attendee50@company.com</t>
  </si>
  <si>
    <t>Department</t>
  </si>
  <si>
    <t>Legend</t>
  </si>
  <si>
    <t>Marketing</t>
  </si>
  <si>
    <t xml:space="preserve">Department </t>
  </si>
  <si>
    <t>Group</t>
  </si>
  <si>
    <t>Sales</t>
  </si>
  <si>
    <t>A</t>
  </si>
  <si>
    <t>HR</t>
  </si>
  <si>
    <t>B</t>
  </si>
  <si>
    <t>IT</t>
  </si>
  <si>
    <t>C</t>
  </si>
  <si>
    <t>Finance</t>
  </si>
  <si>
    <t>D</t>
  </si>
  <si>
    <t>E</t>
  </si>
  <si>
    <t>Date</t>
  </si>
  <si>
    <t>Attended</t>
  </si>
  <si>
    <t>Estado de asistencia</t>
  </si>
  <si>
    <t>Yes</t>
  </si>
  <si>
    <t>No</t>
  </si>
  <si>
    <t>Nombre</t>
  </si>
  <si>
    <t>Mes</t>
  </si>
  <si>
    <t>Contacto</t>
  </si>
  <si>
    <t>Grupo/Departamento</t>
  </si>
  <si>
    <t>Total de días de presencia</t>
  </si>
  <si>
    <t>Dias reales de presencia</t>
  </si>
  <si>
    <t>Porcentaje de asistencia</t>
  </si>
  <si>
    <t>Requisito de asistencia cumplido</t>
  </si>
  <si>
    <t>Cuenta de Estado de asistencia</t>
  </si>
  <si>
    <t>Porcantaje de asistencias</t>
  </si>
  <si>
    <t>Total general</t>
  </si>
  <si>
    <t>Dia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</si>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</sst>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mmmmm\-yy;@"/>
  </numFmts>
  <fonts count="10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2"/>
      <color rgb="FF0F1114"/>
      <name val="Source Sans Pro"/>
      <charset val="1"/>
    </font>
    <font>
      <b/>
      <sz val="12"/>
      <color theme="0"/>
      <name val="Calibri"/>
      <scheme val="maj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theme="6" tint="-0.499984740745262"/>
      <name val="Calibri"/>
      <scheme val="minor"/>
    </font>
    <font>
      <sz val="11"/>
      <color theme="5" tint="-0.249977111117893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0" xfId="0" applyFont="1" applyAlignment="1"/>
    <xf numFmtId="0" fontId="1" fillId="0" borderId="1" xfId="0" applyFont="1" applyBorder="1" applyAlignment="1">
      <alignment horizontal="center" vertical="top" wrapText="1"/>
    </xf>
    <xf numFmtId="15" fontId="2" fillId="0" borderId="0" xfId="0" applyNumberFormat="1" applyFont="1" applyAlignment="1">
      <alignment horizontal="right" wrapText="1"/>
    </xf>
    <xf numFmtId="0" fontId="3" fillId="0" borderId="0" xfId="0" applyFont="1"/>
    <xf numFmtId="0" fontId="0" fillId="0" borderId="0" xfId="0" applyFont="1" applyAlignment="1">
      <alignment wrapText="1"/>
    </xf>
    <xf numFmtId="164" fontId="4" fillId="0" borderId="0" xfId="0" applyNumberFormat="1" applyFont="1" applyAlignment="1"/>
    <xf numFmtId="0" fontId="4" fillId="0" borderId="0" xfId="0" quotePrefix="1" applyFont="1" applyAlignment="1">
      <alignment horizontal="center" wrapText="1"/>
    </xf>
    <xf numFmtId="0" fontId="5" fillId="0" borderId="0" xfId="0" applyFont="1" applyAlignment="1"/>
    <xf numFmtId="10" fontId="4" fillId="0" borderId="0" xfId="0" quotePrefix="1" applyNumberFormat="1" applyFont="1" applyAlignment="1">
      <alignment horizontal="center" wrapText="1"/>
    </xf>
    <xf numFmtId="0" fontId="0" fillId="0" borderId="0" xfId="0" pivotButton="1" applyFont="1" applyAlignment="1"/>
    <xf numFmtId="15" fontId="0" fillId="0" borderId="0" xfId="0" applyNumberFormat="1" applyFont="1" applyAlignment="1"/>
    <xf numFmtId="0" fontId="0" fillId="0" borderId="0" xfId="0" applyNumberFormat="1" applyFont="1" applyAlignment="1"/>
    <xf numFmtId="10" fontId="0" fillId="0" borderId="0" xfId="0" applyNumberFormat="1" applyFont="1" applyAlignment="1"/>
    <xf numFmtId="15" fontId="0" fillId="4" borderId="1" xfId="0" applyNumberFormat="1" applyFont="1" applyFill="1" applyBorder="1" applyAlignment="1"/>
    <xf numFmtId="10" fontId="0" fillId="4" borderId="1" xfId="0" applyNumberFormat="1" applyFont="1" applyFill="1" applyBorder="1" applyAlignment="1"/>
    <xf numFmtId="0" fontId="6" fillId="4" borderId="1" xfId="0" applyFont="1" applyFill="1" applyBorder="1" applyAlignment="1"/>
    <xf numFmtId="15" fontId="0" fillId="4" borderId="2" xfId="0" applyNumberFormat="1" applyFont="1" applyFill="1" applyBorder="1" applyAlignment="1"/>
    <xf numFmtId="10" fontId="0" fillId="4" borderId="2" xfId="0" applyNumberFormat="1" applyFont="1" applyFill="1" applyBorder="1" applyAlignment="1"/>
    <xf numFmtId="15" fontId="0" fillId="4" borderId="1" xfId="0" applyNumberFormat="1" applyFont="1" applyFill="1" applyBorder="1" applyAlignment="1">
      <alignment horizontal="center"/>
    </xf>
    <xf numFmtId="10" fontId="0" fillId="4" borderId="1" xfId="0" applyNumberFormat="1" applyFont="1" applyFill="1" applyBorder="1" applyAlignment="1">
      <alignment horizontal="center"/>
    </xf>
    <xf numFmtId="10" fontId="8" fillId="5" borderId="1" xfId="0" applyNumberFormat="1" applyFont="1" applyFill="1" applyBorder="1" applyAlignment="1"/>
    <xf numFmtId="10" fontId="9" fillId="6" borderId="1" xfId="0" applyNumberFormat="1" applyFont="1" applyFill="1" applyBorder="1" applyAlignment="1"/>
    <xf numFmtId="0" fontId="0" fillId="4" borderId="3" xfId="0" applyFont="1" applyFill="1" applyBorder="1" applyAlignment="1"/>
    <xf numFmtId="0" fontId="7" fillId="4" borderId="4" xfId="0" applyFont="1" applyFill="1" applyBorder="1" applyAlignment="1"/>
    <xf numFmtId="0" fontId="0" fillId="4" borderId="5" xfId="0" applyFont="1" applyFill="1" applyBorder="1" applyAlignme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ajor"/>
      </font>
      <alignment horizontal="general" vertical="bottom" textRotation="0" wrapText="0" indent="0" justifyLastLine="0" shrinkToFit="0" readingOrder="0"/>
    </dxf>
    <dxf>
      <font>
        <color theme="5" tint="-0.499984740745262"/>
      </font>
    </dxf>
    <dxf>
      <font>
        <color theme="9" tint="-0.499984740745262"/>
      </font>
    </dxf>
    <dxf>
      <font>
        <color theme="6" tint="-0.499984740745262"/>
      </font>
    </dxf>
    <dxf>
      <font>
        <color theme="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[vHvN19sQQJCSzsjyDt2BVA_ca79602beb8d439ba468bae582ba33e1_Non-profit-event-dataset 1 1.xlsx]Tabla creada por mi!TablaDinámica1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Asistencias</a:t>
            </a:r>
          </a:p>
        </c:rich>
      </c:tx>
      <c:layout>
        <c:manualLayout>
          <c:xMode val="edge"/>
          <c:yMode val="edge"/>
          <c:x val="0.35968044619422573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creada por mi'!$B$3:$B$4</c:f>
              <c:strCache>
                <c:ptCount val="1"/>
                <c:pt idx="0">
                  <c:v>01-jul-24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'Tabla creada por mi'!$A$5:$A$7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'Tabla creada por mi'!$B$5:$B$7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4F-4CBA-99BF-03B59D83BE17}"/>
            </c:ext>
          </c:extLst>
        </c:ser>
        <c:ser>
          <c:idx val="1"/>
          <c:order val="1"/>
          <c:tx>
            <c:strRef>
              <c:f>'Tabla creada por mi'!$C$3:$C$4</c:f>
              <c:strCache>
                <c:ptCount val="1"/>
                <c:pt idx="0">
                  <c:v>02-jul-24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'Tabla creada por mi'!$A$5:$A$7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'Tabla creada por mi'!$C$5:$C$7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4F-4CBA-99BF-03B59D83BE17}"/>
            </c:ext>
          </c:extLst>
        </c:ser>
        <c:ser>
          <c:idx val="2"/>
          <c:order val="2"/>
          <c:tx>
            <c:strRef>
              <c:f>'Tabla creada por mi'!$D$3:$D$4</c:f>
              <c:strCache>
                <c:ptCount val="1"/>
                <c:pt idx="0">
                  <c:v>03-jul-24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'Tabla creada por mi'!$A$5:$A$7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'Tabla creada por mi'!$D$5:$D$7</c:f>
              <c:numCache>
                <c:formatCode>General</c:formatCode>
                <c:ptCount val="2"/>
                <c:pt idx="0">
                  <c:v>26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4F-4CBA-99BF-03B59D83BE17}"/>
            </c:ext>
          </c:extLst>
        </c:ser>
        <c:ser>
          <c:idx val="3"/>
          <c:order val="3"/>
          <c:tx>
            <c:strRef>
              <c:f>'Tabla creada por mi'!$E$3:$E$4</c:f>
              <c:strCache>
                <c:ptCount val="1"/>
                <c:pt idx="0">
                  <c:v>04-jul-24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'Tabla creada por mi'!$A$5:$A$7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'Tabla creada por mi'!$E$5:$E$7</c:f>
              <c:numCache>
                <c:formatCode>General</c:formatCode>
                <c:ptCount val="2"/>
                <c:pt idx="0">
                  <c:v>20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24F-4CBA-99BF-03B59D83BE17}"/>
            </c:ext>
          </c:extLst>
        </c:ser>
        <c:ser>
          <c:idx val="4"/>
          <c:order val="4"/>
          <c:tx>
            <c:strRef>
              <c:f>'Tabla creada por mi'!$F$3:$F$4</c:f>
              <c:strCache>
                <c:ptCount val="1"/>
                <c:pt idx="0">
                  <c:v>05-jul-24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'Tabla creada por mi'!$A$5:$A$7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'Tabla creada por mi'!$F$5:$F$7</c:f>
              <c:numCache>
                <c:formatCode>General</c:formatCode>
                <c:ptCount val="2"/>
                <c:pt idx="0">
                  <c:v>27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24F-4CBA-99BF-03B59D83B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183623"/>
        <c:axId val="354347528"/>
      </c:barChart>
      <c:catAx>
        <c:axId val="134718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47528"/>
        <c:crosses val="autoZero"/>
        <c:auto val="1"/>
        <c:lblAlgn val="ctr"/>
        <c:lblOffset val="100"/>
        <c:noMultiLvlLbl val="0"/>
      </c:catAx>
      <c:valAx>
        <c:axId val="35434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18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819150</xdr:colOff>
      <xdr:row>6</xdr:row>
      <xdr:rowOff>142875</xdr:rowOff>
    </xdr:from>
    <xdr:to>
      <xdr:col>13</xdr:col>
      <xdr:colOff>495300</xdr:colOff>
      <xdr:row>21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53B62D0-73AF-68A5-96AD-970B9C453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9.335968749998" createdVersion="8" refreshedVersion="8" minRefreshableVersion="3" recordCount="250" xr:uid="{3685F876-421B-4E60-9D08-823BD42AE8B1}">
  <cacheSource type="worksheet">
    <worksheetSource ref="A1:D251" sheet="List3_Details"/>
  </cacheSource>
  <cacheFields count="4">
    <cacheField name="Name" numFmtId="0">
      <sharedItems/>
    </cacheField>
    <cacheField name="Date" numFmtId="15">
      <sharedItems containsSemiMixedTypes="0" containsNonDate="0" containsDate="1" containsString="0" minDate="2024-07-01T00:00:00" maxDate="2024-07-06T00:00:00" count="5">
        <d v="2024-07-01T00:00:00"/>
        <d v="2024-07-02T00:00:00"/>
        <d v="2024-07-03T00:00:00"/>
        <d v="2024-07-04T00:00:00"/>
        <d v="2024-07-05T00:00:00"/>
      </sharedItems>
    </cacheField>
    <cacheField name="Attended" numFmtId="0">
      <sharedItems count="2">
        <s v="Yes"/>
        <s v="No"/>
      </sharedItems>
    </cacheField>
    <cacheField name="Estado de asistenci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Attendee 1"/>
    <x v="0"/>
    <x v="0"/>
    <s v="Presente"/>
  </r>
  <r>
    <s v="Attendee 2"/>
    <x v="0"/>
    <x v="1"/>
    <s v="Ausente"/>
  </r>
  <r>
    <s v="Attendee 3"/>
    <x v="0"/>
    <x v="0"/>
    <s v="Presente"/>
  </r>
  <r>
    <s v="Attendee 4"/>
    <x v="0"/>
    <x v="1"/>
    <s v="Ausente"/>
  </r>
  <r>
    <s v="Attendee 5"/>
    <x v="0"/>
    <x v="0"/>
    <s v="Presente"/>
  </r>
  <r>
    <s v="Attendee 6"/>
    <x v="0"/>
    <x v="1"/>
    <s v="Ausente"/>
  </r>
  <r>
    <s v="Attendee 7"/>
    <x v="0"/>
    <x v="0"/>
    <s v="Presente"/>
  </r>
  <r>
    <s v="Attendee 8"/>
    <x v="0"/>
    <x v="1"/>
    <s v="Ausente"/>
  </r>
  <r>
    <s v="Attendee 9"/>
    <x v="0"/>
    <x v="0"/>
    <s v="Presente"/>
  </r>
  <r>
    <s v="Attendee 10"/>
    <x v="0"/>
    <x v="1"/>
    <s v="Ausente"/>
  </r>
  <r>
    <s v="Attendee 11"/>
    <x v="0"/>
    <x v="0"/>
    <s v="Presente"/>
  </r>
  <r>
    <s v="Attendee 12"/>
    <x v="0"/>
    <x v="1"/>
    <s v="Ausente"/>
  </r>
  <r>
    <s v="Attendee 13"/>
    <x v="0"/>
    <x v="0"/>
    <s v="Presente"/>
  </r>
  <r>
    <s v="Attendee 14"/>
    <x v="0"/>
    <x v="1"/>
    <s v="Ausente"/>
  </r>
  <r>
    <s v="Attendee 15"/>
    <x v="0"/>
    <x v="0"/>
    <s v="Presente"/>
  </r>
  <r>
    <s v="Attendee 16"/>
    <x v="0"/>
    <x v="1"/>
    <s v="Ausente"/>
  </r>
  <r>
    <s v="Attendee 17"/>
    <x v="0"/>
    <x v="0"/>
    <s v="Presente"/>
  </r>
  <r>
    <s v="Attendee 18"/>
    <x v="0"/>
    <x v="1"/>
    <s v="Ausente"/>
  </r>
  <r>
    <s v="Attendee 19"/>
    <x v="0"/>
    <x v="0"/>
    <s v="Presente"/>
  </r>
  <r>
    <s v="Attendee 20"/>
    <x v="0"/>
    <x v="1"/>
    <s v="Ausente"/>
  </r>
  <r>
    <s v="Attendee 21"/>
    <x v="0"/>
    <x v="0"/>
    <s v="Presente"/>
  </r>
  <r>
    <s v="Attendee 22"/>
    <x v="0"/>
    <x v="1"/>
    <s v="Ausente"/>
  </r>
  <r>
    <s v="Attendee 23"/>
    <x v="0"/>
    <x v="0"/>
    <s v="Presente"/>
  </r>
  <r>
    <s v="Attendee 24"/>
    <x v="0"/>
    <x v="1"/>
    <s v="Ausente"/>
  </r>
  <r>
    <s v="Attendee 25"/>
    <x v="0"/>
    <x v="0"/>
    <s v="Presente"/>
  </r>
  <r>
    <s v="Attendee 26"/>
    <x v="0"/>
    <x v="1"/>
    <s v="Ausente"/>
  </r>
  <r>
    <s v="Attendee 27"/>
    <x v="0"/>
    <x v="0"/>
    <s v="Presente"/>
  </r>
  <r>
    <s v="Attendee 28"/>
    <x v="0"/>
    <x v="1"/>
    <s v="Ausente"/>
  </r>
  <r>
    <s v="Attendee 29"/>
    <x v="0"/>
    <x v="0"/>
    <s v="Presente"/>
  </r>
  <r>
    <s v="Attendee 30"/>
    <x v="0"/>
    <x v="1"/>
    <s v="Ausente"/>
  </r>
  <r>
    <s v="Attendee 31"/>
    <x v="0"/>
    <x v="0"/>
    <s v="Presente"/>
  </r>
  <r>
    <s v="Attendee 32"/>
    <x v="0"/>
    <x v="1"/>
    <s v="Ausente"/>
  </r>
  <r>
    <s v="Attendee 33"/>
    <x v="0"/>
    <x v="0"/>
    <s v="Presente"/>
  </r>
  <r>
    <s v="Attendee 34"/>
    <x v="0"/>
    <x v="1"/>
    <s v="Ausente"/>
  </r>
  <r>
    <s v="Attendee 35"/>
    <x v="0"/>
    <x v="0"/>
    <s v="Presente"/>
  </r>
  <r>
    <s v="Attendee 36"/>
    <x v="0"/>
    <x v="1"/>
    <s v="Ausente"/>
  </r>
  <r>
    <s v="Attendee 37"/>
    <x v="0"/>
    <x v="0"/>
    <s v="Presente"/>
  </r>
  <r>
    <s v="Attendee 38"/>
    <x v="0"/>
    <x v="1"/>
    <s v="Ausente"/>
  </r>
  <r>
    <s v="Attendee 39"/>
    <x v="0"/>
    <x v="0"/>
    <s v="Presente"/>
  </r>
  <r>
    <s v="Attendee 40"/>
    <x v="0"/>
    <x v="1"/>
    <s v="Ausente"/>
  </r>
  <r>
    <s v="Attendee 41"/>
    <x v="0"/>
    <x v="0"/>
    <s v="Presente"/>
  </r>
  <r>
    <s v="Attendee 42"/>
    <x v="0"/>
    <x v="1"/>
    <s v="Ausente"/>
  </r>
  <r>
    <s v="Attendee 43"/>
    <x v="0"/>
    <x v="0"/>
    <s v="Presente"/>
  </r>
  <r>
    <s v="Attendee 44"/>
    <x v="0"/>
    <x v="1"/>
    <s v="Ausente"/>
  </r>
  <r>
    <s v="Attendee 45"/>
    <x v="0"/>
    <x v="0"/>
    <s v="Presente"/>
  </r>
  <r>
    <s v="Attendee 46"/>
    <x v="0"/>
    <x v="1"/>
    <s v="Ausente"/>
  </r>
  <r>
    <s v="Attendee 47"/>
    <x v="0"/>
    <x v="0"/>
    <s v="Presente"/>
  </r>
  <r>
    <s v="Attendee 48"/>
    <x v="0"/>
    <x v="1"/>
    <s v="Ausente"/>
  </r>
  <r>
    <s v="Attendee 49"/>
    <x v="0"/>
    <x v="0"/>
    <s v="Presente"/>
  </r>
  <r>
    <s v="Attendee 50"/>
    <x v="0"/>
    <x v="1"/>
    <s v="Ausente"/>
  </r>
  <r>
    <s v="Attendee 1"/>
    <x v="1"/>
    <x v="1"/>
    <s v="Ausente"/>
  </r>
  <r>
    <s v="Attendee 2"/>
    <x v="1"/>
    <x v="0"/>
    <s v="Presente"/>
  </r>
  <r>
    <s v="Attendee 3"/>
    <x v="1"/>
    <x v="1"/>
    <s v="Ausente"/>
  </r>
  <r>
    <s v="Attendee 4"/>
    <x v="1"/>
    <x v="1"/>
    <s v="Ausente"/>
  </r>
  <r>
    <s v="Attendee 5"/>
    <x v="1"/>
    <x v="1"/>
    <s v="Ausente"/>
  </r>
  <r>
    <s v="Attendee 6"/>
    <x v="1"/>
    <x v="1"/>
    <s v="Ausente"/>
  </r>
  <r>
    <s v="Attendee 7"/>
    <x v="1"/>
    <x v="1"/>
    <s v="Ausente"/>
  </r>
  <r>
    <s v="Attendee 8"/>
    <x v="1"/>
    <x v="0"/>
    <s v="Presente"/>
  </r>
  <r>
    <s v="Attendee 9"/>
    <x v="1"/>
    <x v="0"/>
    <s v="Presente"/>
  </r>
  <r>
    <s v="Attendee 10"/>
    <x v="1"/>
    <x v="0"/>
    <s v="Presente"/>
  </r>
  <r>
    <s v="Attendee 11"/>
    <x v="1"/>
    <x v="1"/>
    <s v="Ausente"/>
  </r>
  <r>
    <s v="Attendee 12"/>
    <x v="1"/>
    <x v="1"/>
    <s v="Ausente"/>
  </r>
  <r>
    <s v="Attendee 13"/>
    <x v="1"/>
    <x v="0"/>
    <s v="Presente"/>
  </r>
  <r>
    <s v="Attendee 14"/>
    <x v="1"/>
    <x v="0"/>
    <s v="Presente"/>
  </r>
  <r>
    <s v="Attendee 15"/>
    <x v="1"/>
    <x v="0"/>
    <s v="Presente"/>
  </r>
  <r>
    <s v="Attendee 16"/>
    <x v="1"/>
    <x v="1"/>
    <s v="Ausente"/>
  </r>
  <r>
    <s v="Attendee 17"/>
    <x v="1"/>
    <x v="1"/>
    <s v="Ausente"/>
  </r>
  <r>
    <s v="Attendee 18"/>
    <x v="1"/>
    <x v="0"/>
    <s v="Presente"/>
  </r>
  <r>
    <s v="Attendee 19"/>
    <x v="1"/>
    <x v="0"/>
    <s v="Presente"/>
  </r>
  <r>
    <s v="Attendee 20"/>
    <x v="1"/>
    <x v="1"/>
    <s v="Ausente"/>
  </r>
  <r>
    <s v="Attendee 21"/>
    <x v="1"/>
    <x v="1"/>
    <s v="Ausente"/>
  </r>
  <r>
    <s v="Attendee 22"/>
    <x v="1"/>
    <x v="0"/>
    <s v="Presente"/>
  </r>
  <r>
    <s v="Attendee 23"/>
    <x v="1"/>
    <x v="0"/>
    <s v="Presente"/>
  </r>
  <r>
    <s v="Attendee 24"/>
    <x v="1"/>
    <x v="0"/>
    <s v="Presente"/>
  </r>
  <r>
    <s v="Attendee 25"/>
    <x v="1"/>
    <x v="1"/>
    <s v="Ausente"/>
  </r>
  <r>
    <s v="Attendee 26"/>
    <x v="1"/>
    <x v="0"/>
    <s v="Presente"/>
  </r>
  <r>
    <s v="Attendee 27"/>
    <x v="1"/>
    <x v="0"/>
    <s v="Presente"/>
  </r>
  <r>
    <s v="Attendee 28"/>
    <x v="1"/>
    <x v="1"/>
    <s v="Ausente"/>
  </r>
  <r>
    <s v="Attendee 29"/>
    <x v="1"/>
    <x v="1"/>
    <s v="Ausente"/>
  </r>
  <r>
    <s v="Attendee 30"/>
    <x v="1"/>
    <x v="0"/>
    <s v="Presente"/>
  </r>
  <r>
    <s v="Attendee 31"/>
    <x v="1"/>
    <x v="1"/>
    <s v="Ausente"/>
  </r>
  <r>
    <s v="Attendee 32"/>
    <x v="1"/>
    <x v="1"/>
    <s v="Ausente"/>
  </r>
  <r>
    <s v="Attendee 33"/>
    <x v="1"/>
    <x v="0"/>
    <s v="Presente"/>
  </r>
  <r>
    <s v="Attendee 34"/>
    <x v="1"/>
    <x v="1"/>
    <s v="Ausente"/>
  </r>
  <r>
    <s v="Attendee 35"/>
    <x v="1"/>
    <x v="0"/>
    <s v="Presente"/>
  </r>
  <r>
    <s v="Attendee 36"/>
    <x v="1"/>
    <x v="0"/>
    <s v="Presente"/>
  </r>
  <r>
    <s v="Attendee 37"/>
    <x v="1"/>
    <x v="0"/>
    <s v="Presente"/>
  </r>
  <r>
    <s v="Attendee 38"/>
    <x v="1"/>
    <x v="0"/>
    <s v="Presente"/>
  </r>
  <r>
    <s v="Attendee 39"/>
    <x v="1"/>
    <x v="0"/>
    <s v="Presente"/>
  </r>
  <r>
    <s v="Attendee 40"/>
    <x v="1"/>
    <x v="1"/>
    <s v="Ausente"/>
  </r>
  <r>
    <s v="Attendee 41"/>
    <x v="1"/>
    <x v="1"/>
    <s v="Ausente"/>
  </r>
  <r>
    <s v="Attendee 42"/>
    <x v="1"/>
    <x v="1"/>
    <s v="Ausente"/>
  </r>
  <r>
    <s v="Attendee 43"/>
    <x v="1"/>
    <x v="0"/>
    <s v="Presente"/>
  </r>
  <r>
    <s v="Attendee 44"/>
    <x v="1"/>
    <x v="0"/>
    <s v="Presente"/>
  </r>
  <r>
    <s v="Attendee 45"/>
    <x v="1"/>
    <x v="1"/>
    <s v="Ausente"/>
  </r>
  <r>
    <s v="Attendee 46"/>
    <x v="1"/>
    <x v="0"/>
    <s v="Presente"/>
  </r>
  <r>
    <s v="Attendee 47"/>
    <x v="1"/>
    <x v="0"/>
    <s v="Presente"/>
  </r>
  <r>
    <s v="Attendee 48"/>
    <x v="1"/>
    <x v="1"/>
    <s v="Ausente"/>
  </r>
  <r>
    <s v="Attendee 49"/>
    <x v="1"/>
    <x v="1"/>
    <s v="Ausente"/>
  </r>
  <r>
    <s v="Attendee 50"/>
    <x v="1"/>
    <x v="1"/>
    <s v="Ausente"/>
  </r>
  <r>
    <s v="Attendee 1"/>
    <x v="2"/>
    <x v="1"/>
    <s v="Ausente"/>
  </r>
  <r>
    <s v="Attendee 2"/>
    <x v="2"/>
    <x v="0"/>
    <s v="Presente"/>
  </r>
  <r>
    <s v="Attendee 3"/>
    <x v="2"/>
    <x v="0"/>
    <s v="Presente"/>
  </r>
  <r>
    <s v="Attendee 4"/>
    <x v="2"/>
    <x v="0"/>
    <s v="Presente"/>
  </r>
  <r>
    <s v="Attendee 5"/>
    <x v="2"/>
    <x v="0"/>
    <s v="Presente"/>
  </r>
  <r>
    <s v="Attendee 6"/>
    <x v="2"/>
    <x v="0"/>
    <s v="Presente"/>
  </r>
  <r>
    <s v="Attendee 7"/>
    <x v="2"/>
    <x v="0"/>
    <s v="Presente"/>
  </r>
  <r>
    <s v="Attendee 8"/>
    <x v="2"/>
    <x v="0"/>
    <s v="Presente"/>
  </r>
  <r>
    <s v="Attendee 9"/>
    <x v="2"/>
    <x v="0"/>
    <s v="Presente"/>
  </r>
  <r>
    <s v="Attendee 10"/>
    <x v="2"/>
    <x v="0"/>
    <s v="Presente"/>
  </r>
  <r>
    <s v="Attendee 11"/>
    <x v="2"/>
    <x v="0"/>
    <s v="Presente"/>
  </r>
  <r>
    <s v="Attendee 12"/>
    <x v="2"/>
    <x v="1"/>
    <s v="Ausente"/>
  </r>
  <r>
    <s v="Attendee 13"/>
    <x v="2"/>
    <x v="1"/>
    <s v="Ausente"/>
  </r>
  <r>
    <s v="Attendee 14"/>
    <x v="2"/>
    <x v="1"/>
    <s v="Ausente"/>
  </r>
  <r>
    <s v="Attendee 15"/>
    <x v="2"/>
    <x v="1"/>
    <s v="Ausente"/>
  </r>
  <r>
    <s v="Attendee 16"/>
    <x v="2"/>
    <x v="1"/>
    <s v="Ausente"/>
  </r>
  <r>
    <s v="Attendee 17"/>
    <x v="2"/>
    <x v="0"/>
    <s v="Presente"/>
  </r>
  <r>
    <s v="Attendee 18"/>
    <x v="2"/>
    <x v="0"/>
    <s v="Presente"/>
  </r>
  <r>
    <s v="Attendee 19"/>
    <x v="2"/>
    <x v="0"/>
    <s v="Presente"/>
  </r>
  <r>
    <s v="Attendee 20"/>
    <x v="2"/>
    <x v="1"/>
    <s v="Ausente"/>
  </r>
  <r>
    <s v="Attendee 21"/>
    <x v="2"/>
    <x v="0"/>
    <s v="Presente"/>
  </r>
  <r>
    <s v="Attendee 22"/>
    <x v="2"/>
    <x v="1"/>
    <s v="Ausente"/>
  </r>
  <r>
    <s v="Attendee 23"/>
    <x v="2"/>
    <x v="1"/>
    <s v="Ausente"/>
  </r>
  <r>
    <s v="Attendee 24"/>
    <x v="2"/>
    <x v="0"/>
    <s v="Presente"/>
  </r>
  <r>
    <s v="Attendee 25"/>
    <x v="2"/>
    <x v="1"/>
    <s v="Ausente"/>
  </r>
  <r>
    <s v="Attendee 26"/>
    <x v="2"/>
    <x v="1"/>
    <s v="Ausente"/>
  </r>
  <r>
    <s v="Attendee 27"/>
    <x v="2"/>
    <x v="1"/>
    <s v="Ausente"/>
  </r>
  <r>
    <s v="Attendee 28"/>
    <x v="2"/>
    <x v="1"/>
    <s v="Ausente"/>
  </r>
  <r>
    <s v="Attendee 29"/>
    <x v="2"/>
    <x v="1"/>
    <s v="Ausente"/>
  </r>
  <r>
    <s v="Attendee 30"/>
    <x v="2"/>
    <x v="0"/>
    <s v="Presente"/>
  </r>
  <r>
    <s v="Attendee 31"/>
    <x v="2"/>
    <x v="1"/>
    <s v="Ausente"/>
  </r>
  <r>
    <s v="Attendee 32"/>
    <x v="2"/>
    <x v="1"/>
    <s v="Ausente"/>
  </r>
  <r>
    <s v="Attendee 33"/>
    <x v="2"/>
    <x v="0"/>
    <s v="Presente"/>
  </r>
  <r>
    <s v="Attendee 34"/>
    <x v="2"/>
    <x v="0"/>
    <s v="Presente"/>
  </r>
  <r>
    <s v="Attendee 35"/>
    <x v="2"/>
    <x v="1"/>
    <s v="Ausente"/>
  </r>
  <r>
    <s v="Attendee 36"/>
    <x v="2"/>
    <x v="0"/>
    <s v="Presente"/>
  </r>
  <r>
    <s v="Attendee 37"/>
    <x v="2"/>
    <x v="0"/>
    <s v="Presente"/>
  </r>
  <r>
    <s v="Attendee 38"/>
    <x v="2"/>
    <x v="1"/>
    <s v="Ausente"/>
  </r>
  <r>
    <s v="Attendee 39"/>
    <x v="2"/>
    <x v="0"/>
    <s v="Presente"/>
  </r>
  <r>
    <s v="Attendee 40"/>
    <x v="2"/>
    <x v="1"/>
    <s v="Ausente"/>
  </r>
  <r>
    <s v="Attendee 41"/>
    <x v="2"/>
    <x v="0"/>
    <s v="Presente"/>
  </r>
  <r>
    <s v="Attendee 42"/>
    <x v="2"/>
    <x v="1"/>
    <s v="Ausente"/>
  </r>
  <r>
    <s v="Attendee 43"/>
    <x v="2"/>
    <x v="1"/>
    <s v="Ausente"/>
  </r>
  <r>
    <s v="Attendee 44"/>
    <x v="2"/>
    <x v="1"/>
    <s v="Ausente"/>
  </r>
  <r>
    <s v="Attendee 45"/>
    <x v="2"/>
    <x v="1"/>
    <s v="Ausente"/>
  </r>
  <r>
    <s v="Attendee 46"/>
    <x v="2"/>
    <x v="0"/>
    <s v="Presente"/>
  </r>
  <r>
    <s v="Attendee 47"/>
    <x v="2"/>
    <x v="0"/>
    <s v="Presente"/>
  </r>
  <r>
    <s v="Attendee 48"/>
    <x v="2"/>
    <x v="1"/>
    <s v="Ausente"/>
  </r>
  <r>
    <s v="Attendee 49"/>
    <x v="2"/>
    <x v="1"/>
    <s v="Ausente"/>
  </r>
  <r>
    <s v="Attendee 50"/>
    <x v="2"/>
    <x v="1"/>
    <s v="Ausente"/>
  </r>
  <r>
    <s v="Attendee 1"/>
    <x v="3"/>
    <x v="0"/>
    <s v="Presente"/>
  </r>
  <r>
    <s v="Attendee 2"/>
    <x v="3"/>
    <x v="0"/>
    <s v="Presente"/>
  </r>
  <r>
    <s v="Attendee 3"/>
    <x v="3"/>
    <x v="1"/>
    <s v="Ausente"/>
  </r>
  <r>
    <s v="Attendee 4"/>
    <x v="3"/>
    <x v="0"/>
    <s v="Presente"/>
  </r>
  <r>
    <s v="Attendee 5"/>
    <x v="3"/>
    <x v="0"/>
    <s v="Presente"/>
  </r>
  <r>
    <s v="Attendee 6"/>
    <x v="3"/>
    <x v="0"/>
    <s v="Presente"/>
  </r>
  <r>
    <s v="Attendee 7"/>
    <x v="3"/>
    <x v="0"/>
    <s v="Presente"/>
  </r>
  <r>
    <s v="Attendee 8"/>
    <x v="3"/>
    <x v="0"/>
    <s v="Presente"/>
  </r>
  <r>
    <s v="Attendee 9"/>
    <x v="3"/>
    <x v="0"/>
    <s v="Presente"/>
  </r>
  <r>
    <s v="Attendee 10"/>
    <x v="3"/>
    <x v="1"/>
    <s v="Ausente"/>
  </r>
  <r>
    <s v="Attendee 11"/>
    <x v="3"/>
    <x v="0"/>
    <s v="Presente"/>
  </r>
  <r>
    <s v="Attendee 12"/>
    <x v="3"/>
    <x v="1"/>
    <s v="Ausente"/>
  </r>
  <r>
    <s v="Attendee 13"/>
    <x v="3"/>
    <x v="1"/>
    <s v="Ausente"/>
  </r>
  <r>
    <s v="Attendee 14"/>
    <x v="3"/>
    <x v="0"/>
    <s v="Presente"/>
  </r>
  <r>
    <s v="Attendee 15"/>
    <x v="3"/>
    <x v="0"/>
    <s v="Presente"/>
  </r>
  <r>
    <s v="Attendee 16"/>
    <x v="3"/>
    <x v="0"/>
    <s v="Presente"/>
  </r>
  <r>
    <s v="Attendee 17"/>
    <x v="3"/>
    <x v="1"/>
    <s v="Ausente"/>
  </r>
  <r>
    <s v="Attendee 18"/>
    <x v="3"/>
    <x v="1"/>
    <s v="Ausente"/>
  </r>
  <r>
    <s v="Attendee 19"/>
    <x v="3"/>
    <x v="1"/>
    <s v="Ausente"/>
  </r>
  <r>
    <s v="Attendee 20"/>
    <x v="3"/>
    <x v="0"/>
    <s v="Presente"/>
  </r>
  <r>
    <s v="Attendee 21"/>
    <x v="3"/>
    <x v="1"/>
    <s v="Ausente"/>
  </r>
  <r>
    <s v="Attendee 22"/>
    <x v="3"/>
    <x v="1"/>
    <s v="Ausente"/>
  </r>
  <r>
    <s v="Attendee 23"/>
    <x v="3"/>
    <x v="0"/>
    <s v="Presente"/>
  </r>
  <r>
    <s v="Attendee 24"/>
    <x v="3"/>
    <x v="1"/>
    <s v="Ausente"/>
  </r>
  <r>
    <s v="Attendee 25"/>
    <x v="3"/>
    <x v="0"/>
    <s v="Presente"/>
  </r>
  <r>
    <s v="Attendee 26"/>
    <x v="3"/>
    <x v="1"/>
    <s v="Ausente"/>
  </r>
  <r>
    <s v="Attendee 27"/>
    <x v="3"/>
    <x v="0"/>
    <s v="Presente"/>
  </r>
  <r>
    <s v="Attendee 28"/>
    <x v="3"/>
    <x v="1"/>
    <s v="Ausente"/>
  </r>
  <r>
    <s v="Attendee 29"/>
    <x v="3"/>
    <x v="0"/>
    <s v="Presente"/>
  </r>
  <r>
    <s v="Attendee 30"/>
    <x v="3"/>
    <x v="0"/>
    <s v="Presente"/>
  </r>
  <r>
    <s v="Attendee 31"/>
    <x v="3"/>
    <x v="0"/>
    <s v="Presente"/>
  </r>
  <r>
    <s v="Attendee 32"/>
    <x v="3"/>
    <x v="0"/>
    <s v="Presente"/>
  </r>
  <r>
    <s v="Attendee 33"/>
    <x v="3"/>
    <x v="0"/>
    <s v="Presente"/>
  </r>
  <r>
    <s v="Attendee 34"/>
    <x v="3"/>
    <x v="0"/>
    <s v="Presente"/>
  </r>
  <r>
    <s v="Attendee 35"/>
    <x v="3"/>
    <x v="1"/>
    <s v="Ausente"/>
  </r>
  <r>
    <s v="Attendee 36"/>
    <x v="3"/>
    <x v="0"/>
    <s v="Presente"/>
  </r>
  <r>
    <s v="Attendee 37"/>
    <x v="3"/>
    <x v="1"/>
    <s v="Ausente"/>
  </r>
  <r>
    <s v="Attendee 38"/>
    <x v="3"/>
    <x v="0"/>
    <s v="Presente"/>
  </r>
  <r>
    <s v="Attendee 39"/>
    <x v="3"/>
    <x v="1"/>
    <s v="Ausente"/>
  </r>
  <r>
    <s v="Attendee 40"/>
    <x v="3"/>
    <x v="0"/>
    <s v="Presente"/>
  </r>
  <r>
    <s v="Attendee 41"/>
    <x v="3"/>
    <x v="0"/>
    <s v="Presente"/>
  </r>
  <r>
    <s v="Attendee 42"/>
    <x v="3"/>
    <x v="0"/>
    <s v="Presente"/>
  </r>
  <r>
    <s v="Attendee 43"/>
    <x v="3"/>
    <x v="1"/>
    <s v="Ausente"/>
  </r>
  <r>
    <s v="Attendee 44"/>
    <x v="3"/>
    <x v="0"/>
    <s v="Presente"/>
  </r>
  <r>
    <s v="Attendee 45"/>
    <x v="3"/>
    <x v="0"/>
    <s v="Presente"/>
  </r>
  <r>
    <s v="Attendee 46"/>
    <x v="3"/>
    <x v="1"/>
    <s v="Ausente"/>
  </r>
  <r>
    <s v="Attendee 47"/>
    <x v="3"/>
    <x v="1"/>
    <s v="Ausente"/>
  </r>
  <r>
    <s v="Attendee 48"/>
    <x v="3"/>
    <x v="1"/>
    <s v="Ausente"/>
  </r>
  <r>
    <s v="Attendee 49"/>
    <x v="3"/>
    <x v="1"/>
    <s v="Ausente"/>
  </r>
  <r>
    <s v="Attendee 50"/>
    <x v="3"/>
    <x v="0"/>
    <s v="Presente"/>
  </r>
  <r>
    <s v="Attendee 1"/>
    <x v="4"/>
    <x v="1"/>
    <s v="Ausente"/>
  </r>
  <r>
    <s v="Attendee 2"/>
    <x v="4"/>
    <x v="1"/>
    <s v="Ausente"/>
  </r>
  <r>
    <s v="Attendee 3"/>
    <x v="4"/>
    <x v="1"/>
    <s v="Ausente"/>
  </r>
  <r>
    <s v="Attendee 4"/>
    <x v="4"/>
    <x v="1"/>
    <s v="Ausente"/>
  </r>
  <r>
    <s v="Attendee 5"/>
    <x v="4"/>
    <x v="1"/>
    <s v="Ausente"/>
  </r>
  <r>
    <s v="Attendee 6"/>
    <x v="4"/>
    <x v="0"/>
    <s v="Presente"/>
  </r>
  <r>
    <s v="Attendee 7"/>
    <x v="4"/>
    <x v="0"/>
    <s v="Presente"/>
  </r>
  <r>
    <s v="Attendee 8"/>
    <x v="4"/>
    <x v="1"/>
    <s v="Ausente"/>
  </r>
  <r>
    <s v="Attendee 9"/>
    <x v="4"/>
    <x v="1"/>
    <s v="Ausente"/>
  </r>
  <r>
    <s v="Attendee 10"/>
    <x v="4"/>
    <x v="1"/>
    <s v="Ausente"/>
  </r>
  <r>
    <s v="Attendee 11"/>
    <x v="4"/>
    <x v="1"/>
    <s v="Ausente"/>
  </r>
  <r>
    <s v="Attendee 12"/>
    <x v="4"/>
    <x v="1"/>
    <s v="Ausente"/>
  </r>
  <r>
    <s v="Attendee 13"/>
    <x v="4"/>
    <x v="0"/>
    <s v="Presente"/>
  </r>
  <r>
    <s v="Attendee 14"/>
    <x v="4"/>
    <x v="0"/>
    <s v="Presente"/>
  </r>
  <r>
    <s v="Attendee 15"/>
    <x v="4"/>
    <x v="1"/>
    <s v="Ausente"/>
  </r>
  <r>
    <s v="Attendee 16"/>
    <x v="4"/>
    <x v="0"/>
    <s v="Presente"/>
  </r>
  <r>
    <s v="Attendee 17"/>
    <x v="4"/>
    <x v="0"/>
    <s v="Presente"/>
  </r>
  <r>
    <s v="Attendee 18"/>
    <x v="4"/>
    <x v="0"/>
    <s v="Presente"/>
  </r>
  <r>
    <s v="Attendee 19"/>
    <x v="4"/>
    <x v="1"/>
    <s v="Ausente"/>
  </r>
  <r>
    <s v="Attendee 20"/>
    <x v="4"/>
    <x v="0"/>
    <s v="Presente"/>
  </r>
  <r>
    <s v="Attendee 21"/>
    <x v="4"/>
    <x v="0"/>
    <s v="Presente"/>
  </r>
  <r>
    <s v="Attendee 22"/>
    <x v="4"/>
    <x v="1"/>
    <s v="Ausente"/>
  </r>
  <r>
    <s v="Attendee 23"/>
    <x v="4"/>
    <x v="1"/>
    <s v="Ausente"/>
  </r>
  <r>
    <s v="Attendee 24"/>
    <x v="4"/>
    <x v="1"/>
    <s v="Ausente"/>
  </r>
  <r>
    <s v="Attendee 25"/>
    <x v="4"/>
    <x v="1"/>
    <s v="Ausente"/>
  </r>
  <r>
    <s v="Attendee 26"/>
    <x v="4"/>
    <x v="0"/>
    <s v="Presente"/>
  </r>
  <r>
    <s v="Attendee 27"/>
    <x v="4"/>
    <x v="0"/>
    <s v="Presente"/>
  </r>
  <r>
    <s v="Attendee 28"/>
    <x v="4"/>
    <x v="1"/>
    <s v="Ausente"/>
  </r>
  <r>
    <s v="Attendee 29"/>
    <x v="4"/>
    <x v="0"/>
    <s v="Presente"/>
  </r>
  <r>
    <s v="Attendee 30"/>
    <x v="4"/>
    <x v="0"/>
    <s v="Presente"/>
  </r>
  <r>
    <s v="Attendee 31"/>
    <x v="4"/>
    <x v="1"/>
    <s v="Ausente"/>
  </r>
  <r>
    <s v="Attendee 32"/>
    <x v="4"/>
    <x v="0"/>
    <s v="Presente"/>
  </r>
  <r>
    <s v="Attendee 33"/>
    <x v="4"/>
    <x v="0"/>
    <s v="Presente"/>
  </r>
  <r>
    <s v="Attendee 34"/>
    <x v="4"/>
    <x v="1"/>
    <s v="Ausente"/>
  </r>
  <r>
    <s v="Attendee 35"/>
    <x v="4"/>
    <x v="0"/>
    <s v="Presente"/>
  </r>
  <r>
    <s v="Attendee 36"/>
    <x v="4"/>
    <x v="1"/>
    <s v="Ausente"/>
  </r>
  <r>
    <s v="Attendee 37"/>
    <x v="4"/>
    <x v="0"/>
    <s v="Presente"/>
  </r>
  <r>
    <s v="Attendee 38"/>
    <x v="4"/>
    <x v="0"/>
    <s v="Presente"/>
  </r>
  <r>
    <s v="Attendee 39"/>
    <x v="4"/>
    <x v="0"/>
    <s v="Presente"/>
  </r>
  <r>
    <s v="Attendee 40"/>
    <x v="4"/>
    <x v="1"/>
    <s v="Ausente"/>
  </r>
  <r>
    <s v="Attendee 41"/>
    <x v="4"/>
    <x v="0"/>
    <s v="Presente"/>
  </r>
  <r>
    <s v="Attendee 42"/>
    <x v="4"/>
    <x v="1"/>
    <s v="Ausente"/>
  </r>
  <r>
    <s v="Attendee 43"/>
    <x v="4"/>
    <x v="1"/>
    <s v="Ausente"/>
  </r>
  <r>
    <s v="Attendee 44"/>
    <x v="4"/>
    <x v="1"/>
    <s v="Ausente"/>
  </r>
  <r>
    <s v="Attendee 45"/>
    <x v="4"/>
    <x v="0"/>
    <s v="Presente"/>
  </r>
  <r>
    <s v="Attendee 46"/>
    <x v="4"/>
    <x v="1"/>
    <s v="Ausente"/>
  </r>
  <r>
    <s v="Attendee 47"/>
    <x v="4"/>
    <x v="0"/>
    <s v="Presente"/>
  </r>
  <r>
    <s v="Attendee 48"/>
    <x v="4"/>
    <x v="1"/>
    <s v="Ausente"/>
  </r>
  <r>
    <s v="Attendee 49"/>
    <x v="4"/>
    <x v="0"/>
    <s v="Presente"/>
  </r>
  <r>
    <s v="Attendee 50"/>
    <x v="4"/>
    <x v="1"/>
    <s v="Aus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5B745-9A58-48EA-8091-7125347C2247}" name="TablaDinámica1" cacheId="2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A3:G7" firstHeaderRow="1" firstDataRow="2" firstDataCol="1"/>
  <pivotFields count="4">
    <pivotField compact="0" outline="0" showAll="0"/>
    <pivotField axis="axisCol" compact="0" numFmtId="15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3">
        <item x="1"/>
        <item x="0"/>
        <item t="default"/>
      </items>
    </pivotField>
    <pivotField dataField="1" compact="0" outline="0" showAll="0"/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Estado de asistencia" fld="3" subtotal="count" baseField="0" baseItem="0"/>
  </dataFields>
  <chartFormats count="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4665D9-BD14-415C-8B37-8DEC2BCBAE2C}" name="Tabla1" displayName="Tabla1" ref="A1:H58" totalsRowShown="0" headerRowDxfId="2">
  <autoFilter ref="A1:H58" xr:uid="{FA4665D9-BD14-415C-8B37-8DEC2BCBAE2C}"/>
  <tableColumns count="8">
    <tableColumn id="1" xr3:uid="{D498152B-8918-49DF-BA04-F5A5097A6E45}" name="Nombre"/>
    <tableColumn id="2" xr3:uid="{8EDB3C29-647F-4209-AE40-75F5511F10B3}" name="Mes"/>
    <tableColumn id="3" xr3:uid="{CE2C7263-1BD6-4585-8F43-00AADE174BBD}" name="Contacto"/>
    <tableColumn id="4" xr3:uid="{AE3FA9FA-C75E-4A1D-873A-E0D9A1B8B9BF}" name="Grupo/Departamento"/>
    <tableColumn id="5" xr3:uid="{FFFCF33A-E879-4088-BF5C-4E57A0B26FD1}" name="Total de días de presencia"/>
    <tableColumn id="6" xr3:uid="{B37B4A43-CE33-4B55-A9E2-D638F5BB5C0C}" name="Dias reales de presencia"/>
    <tableColumn id="7" xr3:uid="{CF97C3DD-ECDE-4D4A-BE1A-68FF42903B6B}" name="Porcentaje de asistencia" dataDxfId="1">
      <calculatedColumnFormula>IF(F2&lt;&gt;0,E2/F2,0)</calculatedColumnFormula>
    </tableColumn>
    <tableColumn id="8" xr3:uid="{A72B5516-1596-427A-AE7D-0D127E88E21D}" name="Requisito de asistencia cumplido" dataDxfId="0">
      <calculatedColumnFormula>IF(G2&gt;=60%, "Cumplido","Incumplido")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7"/>
  <sheetViews>
    <sheetView topLeftCell="A49" workbookViewId="0">
      <selection activeCell="E15" sqref="E15"/>
    </sheetView>
  </sheetViews>
  <sheetFormatPr defaultColWidth="14.42578125" defaultRowHeight="15" customHeight="1"/>
  <cols>
    <col min="1" max="1" width="13.7109375" customWidth="1"/>
    <col min="2" max="2" width="27.140625" customWidth="1"/>
    <col min="3" max="26" width="8.855468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 ht="15.75" customHeight="1">
      <c r="A21" s="2" t="s">
        <v>40</v>
      </c>
      <c r="B21" s="2" t="s">
        <v>41</v>
      </c>
    </row>
    <row r="22" spans="1:2">
      <c r="A22" s="2" t="s">
        <v>14</v>
      </c>
      <c r="B22" s="2" t="s">
        <v>15</v>
      </c>
    </row>
    <row r="23" spans="1:2">
      <c r="A23" s="2" t="s">
        <v>16</v>
      </c>
      <c r="B23" s="2" t="s">
        <v>17</v>
      </c>
    </row>
    <row r="24" spans="1:2">
      <c r="A24" s="2" t="s">
        <v>18</v>
      </c>
      <c r="B24" s="2" t="s">
        <v>19</v>
      </c>
    </row>
    <row r="25" spans="1:2" ht="15.75" customHeight="1">
      <c r="A25" s="2" t="s">
        <v>42</v>
      </c>
      <c r="B25" s="2" t="s">
        <v>43</v>
      </c>
    </row>
    <row r="26" spans="1:2" ht="15.75" customHeight="1">
      <c r="A26" s="2" t="s">
        <v>44</v>
      </c>
      <c r="B26" s="2" t="s">
        <v>45</v>
      </c>
    </row>
    <row r="27" spans="1:2" ht="15.75" customHeight="1">
      <c r="A27" s="2" t="s">
        <v>46</v>
      </c>
      <c r="B27" s="2" t="s">
        <v>47</v>
      </c>
    </row>
    <row r="28" spans="1:2" ht="15.75" customHeight="1">
      <c r="A28" s="2" t="s">
        <v>48</v>
      </c>
      <c r="B28" s="2" t="s">
        <v>49</v>
      </c>
    </row>
    <row r="29" spans="1:2" ht="15.75" customHeight="1">
      <c r="A29" s="2" t="s">
        <v>50</v>
      </c>
      <c r="B29" s="2" t="s">
        <v>51</v>
      </c>
    </row>
    <row r="30" spans="1:2" ht="15.75" customHeight="1">
      <c r="A30" s="2" t="s">
        <v>52</v>
      </c>
      <c r="B30" s="2" t="s">
        <v>53</v>
      </c>
    </row>
    <row r="31" spans="1:2" ht="15.75" customHeight="1">
      <c r="A31" s="2" t="s">
        <v>54</v>
      </c>
      <c r="B31" s="2" t="s">
        <v>55</v>
      </c>
    </row>
    <row r="32" spans="1:2" ht="15.75" customHeight="1">
      <c r="A32" s="2" t="s">
        <v>56</v>
      </c>
      <c r="B32" s="2" t="s">
        <v>57</v>
      </c>
    </row>
    <row r="33" spans="1:2" ht="15.75" customHeight="1">
      <c r="A33" s="2" t="s">
        <v>58</v>
      </c>
      <c r="B33" s="2" t="s">
        <v>59</v>
      </c>
    </row>
    <row r="34" spans="1:2" ht="15.75" customHeight="1">
      <c r="A34" s="2" t="s">
        <v>60</v>
      </c>
      <c r="B34" s="2" t="s">
        <v>61</v>
      </c>
    </row>
    <row r="35" spans="1:2" ht="15.75" customHeight="1">
      <c r="A35" s="2" t="s">
        <v>62</v>
      </c>
      <c r="B35" s="2" t="s">
        <v>63</v>
      </c>
    </row>
    <row r="36" spans="1:2" ht="15.75" customHeight="1">
      <c r="A36" s="2" t="s">
        <v>64</v>
      </c>
      <c r="B36" s="2" t="s">
        <v>65</v>
      </c>
    </row>
    <row r="37" spans="1:2" ht="15.75" customHeight="1">
      <c r="A37" s="2" t="s">
        <v>66</v>
      </c>
      <c r="B37" s="2" t="s">
        <v>67</v>
      </c>
    </row>
    <row r="38" spans="1:2" ht="15.75" customHeight="1">
      <c r="A38" s="2" t="s">
        <v>68</v>
      </c>
      <c r="B38" s="2" t="s">
        <v>69</v>
      </c>
    </row>
    <row r="39" spans="1:2" ht="15.75" customHeight="1">
      <c r="A39" s="2" t="s">
        <v>70</v>
      </c>
      <c r="B39" s="2" t="s">
        <v>71</v>
      </c>
    </row>
    <row r="40" spans="1:2" ht="15.75" customHeight="1">
      <c r="A40" s="2" t="s">
        <v>72</v>
      </c>
      <c r="B40" s="2" t="s">
        <v>73</v>
      </c>
    </row>
    <row r="41" spans="1:2" ht="15.75" customHeight="1">
      <c r="A41" s="2" t="s">
        <v>74</v>
      </c>
      <c r="B41" s="2" t="s">
        <v>75</v>
      </c>
    </row>
    <row r="42" spans="1:2" ht="15.75" customHeight="1">
      <c r="A42" s="2" t="s">
        <v>76</v>
      </c>
      <c r="B42" s="2" t="s">
        <v>77</v>
      </c>
    </row>
    <row r="43" spans="1:2" ht="15.75" customHeight="1">
      <c r="A43" s="2" t="s">
        <v>78</v>
      </c>
      <c r="B43" s="2" t="s">
        <v>79</v>
      </c>
    </row>
    <row r="44" spans="1:2" ht="15.75" customHeight="1">
      <c r="A44" s="2" t="s">
        <v>80</v>
      </c>
      <c r="B44" s="2" t="s">
        <v>81</v>
      </c>
    </row>
    <row r="45" spans="1:2" ht="15.75" customHeight="1">
      <c r="A45" s="2" t="s">
        <v>82</v>
      </c>
      <c r="B45" s="2" t="s">
        <v>83</v>
      </c>
    </row>
    <row r="46" spans="1:2" ht="15.75" customHeight="1">
      <c r="A46" s="2" t="s">
        <v>84</v>
      </c>
      <c r="B46" s="2" t="s">
        <v>85</v>
      </c>
    </row>
    <row r="47" spans="1:2" ht="15.75" customHeight="1">
      <c r="A47" s="2" t="s">
        <v>86</v>
      </c>
      <c r="B47" s="2" t="s">
        <v>87</v>
      </c>
    </row>
    <row r="48" spans="1:2" ht="15.75" customHeight="1">
      <c r="A48" s="2" t="s">
        <v>56</v>
      </c>
      <c r="B48" s="2" t="s">
        <v>57</v>
      </c>
    </row>
    <row r="49" spans="1:2" ht="15.75" customHeight="1">
      <c r="A49" s="2" t="s">
        <v>58</v>
      </c>
      <c r="B49" s="2" t="s">
        <v>59</v>
      </c>
    </row>
    <row r="50" spans="1:2" ht="15.75" customHeight="1">
      <c r="A50" s="2" t="s">
        <v>60</v>
      </c>
      <c r="B50" s="2" t="s">
        <v>61</v>
      </c>
    </row>
    <row r="51" spans="1:2" ht="15.75" customHeight="1">
      <c r="A51" s="2" t="s">
        <v>62</v>
      </c>
      <c r="B51" s="2" t="s">
        <v>63</v>
      </c>
    </row>
    <row r="52" spans="1:2" ht="15.75" customHeight="1">
      <c r="A52" s="2" t="s">
        <v>88</v>
      </c>
      <c r="B52" s="2" t="s">
        <v>89</v>
      </c>
    </row>
    <row r="53" spans="1:2" ht="15.75" customHeight="1">
      <c r="A53" s="2" t="s">
        <v>90</v>
      </c>
      <c r="B53" s="2" t="s">
        <v>91</v>
      </c>
    </row>
    <row r="54" spans="1:2" ht="15.75" customHeight="1">
      <c r="A54" s="2" t="s">
        <v>92</v>
      </c>
      <c r="B54" s="2" t="s">
        <v>93</v>
      </c>
    </row>
    <row r="55" spans="1:2" ht="15.75" customHeight="1">
      <c r="A55" s="2" t="s">
        <v>94</v>
      </c>
      <c r="B55" s="2" t="s">
        <v>95</v>
      </c>
    </row>
    <row r="56" spans="1:2" ht="15.75" customHeight="1">
      <c r="A56" s="2" t="s">
        <v>96</v>
      </c>
      <c r="B56" s="2" t="s">
        <v>97</v>
      </c>
    </row>
    <row r="57" spans="1:2" ht="15.75" customHeight="1">
      <c r="A57" s="2" t="s">
        <v>98</v>
      </c>
      <c r="B57" s="2" t="s">
        <v>99</v>
      </c>
    </row>
    <row r="58" spans="1:2" ht="15.75" customHeight="1">
      <c r="A58" s="2" t="s">
        <v>100</v>
      </c>
      <c r="B58" s="2" t="s">
        <v>101</v>
      </c>
    </row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/>
  <cols>
    <col min="1" max="1" width="10.28515625" customWidth="1"/>
    <col min="2" max="2" width="10.7109375" customWidth="1"/>
    <col min="3" max="26" width="8.85546875" customWidth="1"/>
  </cols>
  <sheetData>
    <row r="1" spans="1:5">
      <c r="A1" s="1" t="s">
        <v>0</v>
      </c>
      <c r="B1" s="1" t="s">
        <v>102</v>
      </c>
      <c r="D1" s="3" t="s">
        <v>103</v>
      </c>
      <c r="E1" s="5"/>
    </row>
    <row r="2" spans="1:5">
      <c r="A2" s="2" t="s">
        <v>2</v>
      </c>
      <c r="B2" s="2" t="s">
        <v>104</v>
      </c>
      <c r="D2" s="4" t="s">
        <v>105</v>
      </c>
      <c r="E2" s="4" t="s">
        <v>106</v>
      </c>
    </row>
    <row r="3" spans="1:5">
      <c r="A3" s="2" t="s">
        <v>4</v>
      </c>
      <c r="B3" s="2" t="s">
        <v>107</v>
      </c>
      <c r="D3" s="5" t="s">
        <v>104</v>
      </c>
      <c r="E3" s="5" t="s">
        <v>108</v>
      </c>
    </row>
    <row r="4" spans="1:5">
      <c r="A4" s="2" t="s">
        <v>6</v>
      </c>
      <c r="B4" s="2" t="s">
        <v>109</v>
      </c>
      <c r="D4" s="5" t="s">
        <v>107</v>
      </c>
      <c r="E4" s="5" t="s">
        <v>110</v>
      </c>
    </row>
    <row r="5" spans="1:5">
      <c r="A5" s="2" t="s">
        <v>8</v>
      </c>
      <c r="B5" s="2" t="s">
        <v>111</v>
      </c>
      <c r="D5" s="5" t="s">
        <v>109</v>
      </c>
      <c r="E5" s="5" t="s">
        <v>112</v>
      </c>
    </row>
    <row r="6" spans="1:5">
      <c r="A6" s="2" t="s">
        <v>10</v>
      </c>
      <c r="B6" s="2" t="s">
        <v>113</v>
      </c>
      <c r="D6" s="5" t="s">
        <v>111</v>
      </c>
      <c r="E6" s="5" t="s">
        <v>114</v>
      </c>
    </row>
    <row r="7" spans="1:5">
      <c r="A7" s="2" t="s">
        <v>12</v>
      </c>
      <c r="B7" s="2" t="s">
        <v>104</v>
      </c>
      <c r="D7" s="5" t="s">
        <v>113</v>
      </c>
      <c r="E7" s="5" t="s">
        <v>115</v>
      </c>
    </row>
    <row r="8" spans="1:5">
      <c r="A8" s="2" t="s">
        <v>14</v>
      </c>
      <c r="B8" s="2" t="s">
        <v>107</v>
      </c>
      <c r="D8" s="5"/>
      <c r="E8" s="5"/>
    </row>
    <row r="9" spans="1:5">
      <c r="A9" s="2" t="s">
        <v>16</v>
      </c>
      <c r="B9" s="2" t="s">
        <v>109</v>
      </c>
      <c r="D9" s="5"/>
      <c r="E9" s="5"/>
    </row>
    <row r="10" spans="1:5">
      <c r="A10" s="2" t="s">
        <v>18</v>
      </c>
      <c r="B10" s="2" t="s">
        <v>111</v>
      </c>
    </row>
    <row r="11" spans="1:5">
      <c r="A11" s="2" t="s">
        <v>20</v>
      </c>
      <c r="B11" s="2" t="s">
        <v>113</v>
      </c>
    </row>
    <row r="12" spans="1:5">
      <c r="A12" s="2" t="s">
        <v>22</v>
      </c>
      <c r="B12" s="2" t="s">
        <v>104</v>
      </c>
    </row>
    <row r="13" spans="1:5">
      <c r="A13" s="2" t="s">
        <v>24</v>
      </c>
      <c r="B13" s="2" t="s">
        <v>107</v>
      </c>
    </row>
    <row r="14" spans="1:5">
      <c r="A14" s="2" t="s">
        <v>26</v>
      </c>
      <c r="B14" s="2" t="s">
        <v>109</v>
      </c>
    </row>
    <row r="15" spans="1:5">
      <c r="A15" s="2" t="s">
        <v>28</v>
      </c>
      <c r="B15" s="2" t="s">
        <v>111</v>
      </c>
    </row>
    <row r="16" spans="1:5">
      <c r="A16" s="2" t="s">
        <v>30</v>
      </c>
      <c r="B16" s="2" t="s">
        <v>113</v>
      </c>
    </row>
    <row r="17" spans="1:2">
      <c r="A17" s="2" t="s">
        <v>32</v>
      </c>
      <c r="B17" s="2" t="s">
        <v>104</v>
      </c>
    </row>
    <row r="18" spans="1:2">
      <c r="A18" s="2" t="s">
        <v>34</v>
      </c>
      <c r="B18" s="2" t="s">
        <v>107</v>
      </c>
    </row>
    <row r="19" spans="1:2">
      <c r="A19" s="2" t="s">
        <v>36</v>
      </c>
      <c r="B19" s="2" t="s">
        <v>109</v>
      </c>
    </row>
    <row r="20" spans="1:2">
      <c r="A20" s="2" t="s">
        <v>38</v>
      </c>
      <c r="B20" s="2" t="s">
        <v>111</v>
      </c>
    </row>
    <row r="21" spans="1:2" ht="15.75" customHeight="1">
      <c r="A21" s="2" t="s">
        <v>40</v>
      </c>
      <c r="B21" s="2" t="s">
        <v>113</v>
      </c>
    </row>
    <row r="22" spans="1:2" ht="15.75" customHeight="1">
      <c r="A22" s="2" t="s">
        <v>42</v>
      </c>
      <c r="B22" s="2" t="s">
        <v>104</v>
      </c>
    </row>
    <row r="23" spans="1:2" ht="15.75" customHeight="1">
      <c r="A23" s="2" t="s">
        <v>44</v>
      </c>
      <c r="B23" s="2" t="s">
        <v>107</v>
      </c>
    </row>
    <row r="24" spans="1:2" ht="15.75" customHeight="1">
      <c r="A24" s="2" t="s">
        <v>46</v>
      </c>
      <c r="B24" s="2" t="s">
        <v>109</v>
      </c>
    </row>
    <row r="25" spans="1:2" ht="15.75" customHeight="1">
      <c r="A25" s="2" t="s">
        <v>48</v>
      </c>
      <c r="B25" s="2" t="s">
        <v>111</v>
      </c>
    </row>
    <row r="26" spans="1:2" ht="15.75" customHeight="1">
      <c r="A26" s="2" t="s">
        <v>50</v>
      </c>
      <c r="B26" s="2" t="s">
        <v>113</v>
      </c>
    </row>
    <row r="27" spans="1:2" ht="15.75" customHeight="1">
      <c r="A27" s="2" t="s">
        <v>52</v>
      </c>
      <c r="B27" s="2" t="s">
        <v>104</v>
      </c>
    </row>
    <row r="28" spans="1:2" ht="15.75" customHeight="1">
      <c r="A28" s="2" t="s">
        <v>54</v>
      </c>
      <c r="B28" s="2" t="s">
        <v>107</v>
      </c>
    </row>
    <row r="29" spans="1:2" ht="15.75" customHeight="1">
      <c r="A29" s="2" t="s">
        <v>56</v>
      </c>
      <c r="B29" s="2" t="s">
        <v>109</v>
      </c>
    </row>
    <row r="30" spans="1:2" ht="15.75" customHeight="1">
      <c r="A30" s="2" t="s">
        <v>58</v>
      </c>
      <c r="B30" s="2" t="s">
        <v>111</v>
      </c>
    </row>
    <row r="31" spans="1:2" ht="15.75" customHeight="1">
      <c r="A31" s="2" t="s">
        <v>60</v>
      </c>
      <c r="B31" s="2" t="s">
        <v>113</v>
      </c>
    </row>
    <row r="32" spans="1:2" ht="15.75" customHeight="1">
      <c r="A32" s="2" t="s">
        <v>62</v>
      </c>
      <c r="B32" s="2" t="s">
        <v>104</v>
      </c>
    </row>
    <row r="33" spans="1:2" ht="15.75" customHeight="1">
      <c r="A33" s="2" t="s">
        <v>64</v>
      </c>
      <c r="B33" s="2" t="s">
        <v>107</v>
      </c>
    </row>
    <row r="34" spans="1:2" ht="15.75" customHeight="1">
      <c r="A34" s="2" t="s">
        <v>66</v>
      </c>
      <c r="B34" s="2" t="s">
        <v>109</v>
      </c>
    </row>
    <row r="35" spans="1:2" ht="15.75" customHeight="1">
      <c r="A35" s="2" t="s">
        <v>68</v>
      </c>
      <c r="B35" s="2" t="s">
        <v>111</v>
      </c>
    </row>
    <row r="36" spans="1:2" ht="15.75" customHeight="1">
      <c r="A36" s="2" t="s">
        <v>70</v>
      </c>
      <c r="B36" s="2" t="s">
        <v>113</v>
      </c>
    </row>
    <row r="37" spans="1:2" ht="15.75" customHeight="1">
      <c r="A37" s="2" t="s">
        <v>72</v>
      </c>
      <c r="B37" s="2" t="s">
        <v>104</v>
      </c>
    </row>
    <row r="38" spans="1:2" ht="15.75" customHeight="1">
      <c r="A38" s="2" t="s">
        <v>74</v>
      </c>
      <c r="B38" s="2" t="s">
        <v>107</v>
      </c>
    </row>
    <row r="39" spans="1:2" ht="15.75" customHeight="1">
      <c r="A39" s="2" t="s">
        <v>76</v>
      </c>
      <c r="B39" s="2" t="s">
        <v>109</v>
      </c>
    </row>
    <row r="40" spans="1:2" ht="15.75" customHeight="1">
      <c r="A40" s="2" t="s">
        <v>78</v>
      </c>
      <c r="B40" s="2" t="s">
        <v>111</v>
      </c>
    </row>
    <row r="41" spans="1:2" ht="15.75" customHeight="1">
      <c r="A41" s="2" t="s">
        <v>80</v>
      </c>
      <c r="B41" s="2" t="s">
        <v>113</v>
      </c>
    </row>
    <row r="42" spans="1:2" ht="15.75" customHeight="1">
      <c r="A42" s="2" t="s">
        <v>82</v>
      </c>
      <c r="B42" s="2" t="s">
        <v>104</v>
      </c>
    </row>
    <row r="43" spans="1:2" ht="15.75" customHeight="1">
      <c r="A43" s="2" t="s">
        <v>84</v>
      </c>
      <c r="B43" s="2" t="s">
        <v>107</v>
      </c>
    </row>
    <row r="44" spans="1:2" ht="15.75" customHeight="1">
      <c r="A44" s="2" t="s">
        <v>86</v>
      </c>
      <c r="B44" s="2" t="s">
        <v>109</v>
      </c>
    </row>
    <row r="45" spans="1:2" ht="15.75" customHeight="1">
      <c r="A45" s="2" t="s">
        <v>88</v>
      </c>
      <c r="B45" s="2" t="s">
        <v>111</v>
      </c>
    </row>
    <row r="46" spans="1:2" ht="15.75" customHeight="1">
      <c r="A46" s="2" t="s">
        <v>90</v>
      </c>
      <c r="B46" s="2" t="s">
        <v>113</v>
      </c>
    </row>
    <row r="47" spans="1:2" ht="15.75" customHeight="1">
      <c r="A47" s="2" t="s">
        <v>92</v>
      </c>
      <c r="B47" s="2" t="s">
        <v>104</v>
      </c>
    </row>
    <row r="48" spans="1:2" ht="15.75" customHeight="1">
      <c r="A48" s="2" t="s">
        <v>94</v>
      </c>
      <c r="B48" s="2" t="s">
        <v>107</v>
      </c>
    </row>
    <row r="49" spans="1:2" ht="15.75" customHeight="1">
      <c r="A49" s="2" t="s">
        <v>96</v>
      </c>
      <c r="B49" s="2" t="s">
        <v>109</v>
      </c>
    </row>
    <row r="50" spans="1:2" ht="15.75" customHeight="1">
      <c r="A50" s="2" t="s">
        <v>98</v>
      </c>
      <c r="B50" s="2" t="s">
        <v>111</v>
      </c>
    </row>
    <row r="51" spans="1:2" ht="15.75" customHeight="1">
      <c r="A51" s="2" t="s">
        <v>100</v>
      </c>
      <c r="B51" s="2" t="s">
        <v>113</v>
      </c>
    </row>
    <row r="52" spans="1:2" ht="15.75" customHeight="1"/>
    <row r="53" spans="1:2" ht="15.75" customHeight="1"/>
    <row r="54" spans="1:2" ht="15.75" customHeight="1"/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sqref="A1:D251"/>
    </sheetView>
  </sheetViews>
  <sheetFormatPr defaultColWidth="14.42578125" defaultRowHeight="15" customHeight="1"/>
  <cols>
    <col min="1" max="1" width="10.28515625" customWidth="1"/>
    <col min="2" max="3" width="8.85546875" customWidth="1"/>
    <col min="4" max="4" width="15.140625" customWidth="1"/>
    <col min="5" max="22" width="8.85546875" customWidth="1"/>
  </cols>
  <sheetData>
    <row r="1" spans="1:4" ht="30.75">
      <c r="A1" s="1" t="s">
        <v>0</v>
      </c>
      <c r="B1" s="6" t="s">
        <v>116</v>
      </c>
      <c r="C1" s="6" t="s">
        <v>117</v>
      </c>
      <c r="D1" s="9" t="s">
        <v>118</v>
      </c>
    </row>
    <row r="2" spans="1:4" ht="45.75">
      <c r="A2" s="2" t="s">
        <v>2</v>
      </c>
      <c r="B2" s="7">
        <v>45474</v>
      </c>
      <c r="C2" s="2" t="s">
        <v>119</v>
      </c>
      <c r="D2" s="9" t="str">
        <f>IF(C2="Yes","Presente","Ausente")</f>
        <v>Presente</v>
      </c>
    </row>
    <row r="3" spans="1:4">
      <c r="A3" s="2" t="s">
        <v>4</v>
      </c>
      <c r="B3" s="7">
        <v>45474</v>
      </c>
      <c r="C3" s="2" t="s">
        <v>120</v>
      </c>
      <c r="D3" s="9" t="str">
        <f t="shared" ref="D3:D66" si="0">IF(C3="Yes","Presente","Ausente")</f>
        <v>Ausente</v>
      </c>
    </row>
    <row r="4" spans="1:4">
      <c r="A4" s="2" t="s">
        <v>6</v>
      </c>
      <c r="B4" s="7">
        <v>45474</v>
      </c>
      <c r="C4" s="2" t="s">
        <v>119</v>
      </c>
      <c r="D4" s="9" t="str">
        <f t="shared" si="0"/>
        <v>Presente</v>
      </c>
    </row>
    <row r="5" spans="1:4">
      <c r="A5" s="2" t="s">
        <v>8</v>
      </c>
      <c r="B5" s="7">
        <v>45474</v>
      </c>
      <c r="C5" s="2" t="s">
        <v>120</v>
      </c>
      <c r="D5" s="9" t="str">
        <f t="shared" si="0"/>
        <v>Ausente</v>
      </c>
    </row>
    <row r="6" spans="1:4">
      <c r="A6" s="2" t="s">
        <v>10</v>
      </c>
      <c r="B6" s="7">
        <v>45474</v>
      </c>
      <c r="C6" s="2" t="s">
        <v>119</v>
      </c>
      <c r="D6" s="9" t="str">
        <f t="shared" si="0"/>
        <v>Presente</v>
      </c>
    </row>
    <row r="7" spans="1:4">
      <c r="A7" s="2" t="s">
        <v>12</v>
      </c>
      <c r="B7" s="7">
        <v>45474</v>
      </c>
      <c r="C7" s="2" t="s">
        <v>120</v>
      </c>
      <c r="D7" s="9" t="str">
        <f t="shared" si="0"/>
        <v>Ausente</v>
      </c>
    </row>
    <row r="8" spans="1:4">
      <c r="A8" s="2" t="s">
        <v>14</v>
      </c>
      <c r="B8" s="7">
        <v>45474</v>
      </c>
      <c r="C8" s="2" t="s">
        <v>119</v>
      </c>
      <c r="D8" s="9" t="str">
        <f t="shared" si="0"/>
        <v>Presente</v>
      </c>
    </row>
    <row r="9" spans="1:4">
      <c r="A9" s="2" t="s">
        <v>16</v>
      </c>
      <c r="B9" s="7">
        <v>45474</v>
      </c>
      <c r="C9" s="2" t="s">
        <v>120</v>
      </c>
      <c r="D9" s="9" t="str">
        <f t="shared" si="0"/>
        <v>Ausente</v>
      </c>
    </row>
    <row r="10" spans="1:4">
      <c r="A10" s="2" t="s">
        <v>18</v>
      </c>
      <c r="B10" s="7">
        <v>45474</v>
      </c>
      <c r="C10" s="2" t="s">
        <v>119</v>
      </c>
      <c r="D10" s="9" t="str">
        <f t="shared" si="0"/>
        <v>Presente</v>
      </c>
    </row>
    <row r="11" spans="1:4">
      <c r="A11" s="2" t="s">
        <v>20</v>
      </c>
      <c r="B11" s="7">
        <v>45474</v>
      </c>
      <c r="C11" s="2" t="s">
        <v>120</v>
      </c>
      <c r="D11" s="9" t="str">
        <f t="shared" si="0"/>
        <v>Ausente</v>
      </c>
    </row>
    <row r="12" spans="1:4">
      <c r="A12" s="2" t="s">
        <v>22</v>
      </c>
      <c r="B12" s="7">
        <v>45474</v>
      </c>
      <c r="C12" s="2" t="s">
        <v>119</v>
      </c>
      <c r="D12" s="9" t="str">
        <f t="shared" si="0"/>
        <v>Presente</v>
      </c>
    </row>
    <row r="13" spans="1:4">
      <c r="A13" s="2" t="s">
        <v>24</v>
      </c>
      <c r="B13" s="7">
        <v>45474</v>
      </c>
      <c r="C13" s="2" t="s">
        <v>120</v>
      </c>
      <c r="D13" s="9" t="str">
        <f t="shared" si="0"/>
        <v>Ausente</v>
      </c>
    </row>
    <row r="14" spans="1:4">
      <c r="A14" s="2" t="s">
        <v>26</v>
      </c>
      <c r="B14" s="7">
        <v>45474</v>
      </c>
      <c r="C14" s="2" t="s">
        <v>119</v>
      </c>
      <c r="D14" s="9" t="str">
        <f t="shared" si="0"/>
        <v>Presente</v>
      </c>
    </row>
    <row r="15" spans="1:4">
      <c r="A15" s="2" t="s">
        <v>28</v>
      </c>
      <c r="B15" s="7">
        <v>45474</v>
      </c>
      <c r="C15" s="2" t="s">
        <v>120</v>
      </c>
      <c r="D15" s="9" t="str">
        <f t="shared" si="0"/>
        <v>Ausente</v>
      </c>
    </row>
    <row r="16" spans="1:4">
      <c r="A16" s="2" t="s">
        <v>30</v>
      </c>
      <c r="B16" s="7">
        <v>45474</v>
      </c>
      <c r="C16" s="2" t="s">
        <v>119</v>
      </c>
      <c r="D16" s="9" t="str">
        <f t="shared" si="0"/>
        <v>Presente</v>
      </c>
    </row>
    <row r="17" spans="1:4">
      <c r="A17" s="2" t="s">
        <v>32</v>
      </c>
      <c r="B17" s="7">
        <v>45474</v>
      </c>
      <c r="C17" s="2" t="s">
        <v>120</v>
      </c>
      <c r="D17" s="9" t="str">
        <f t="shared" si="0"/>
        <v>Ausente</v>
      </c>
    </row>
    <row r="18" spans="1:4">
      <c r="A18" s="2" t="s">
        <v>34</v>
      </c>
      <c r="B18" s="7">
        <v>45474</v>
      </c>
      <c r="C18" s="2" t="s">
        <v>119</v>
      </c>
      <c r="D18" s="9" t="str">
        <f t="shared" si="0"/>
        <v>Presente</v>
      </c>
    </row>
    <row r="19" spans="1:4">
      <c r="A19" s="2" t="s">
        <v>36</v>
      </c>
      <c r="B19" s="7">
        <v>45474</v>
      </c>
      <c r="C19" s="2" t="s">
        <v>120</v>
      </c>
      <c r="D19" s="9" t="str">
        <f t="shared" si="0"/>
        <v>Ausente</v>
      </c>
    </row>
    <row r="20" spans="1:4">
      <c r="A20" s="2" t="s">
        <v>38</v>
      </c>
      <c r="B20" s="7">
        <v>45474</v>
      </c>
      <c r="C20" s="2" t="s">
        <v>119</v>
      </c>
      <c r="D20" s="9" t="str">
        <f t="shared" si="0"/>
        <v>Presente</v>
      </c>
    </row>
    <row r="21" spans="1:4" ht="15.75" customHeight="1">
      <c r="A21" s="2" t="s">
        <v>40</v>
      </c>
      <c r="B21" s="7">
        <v>45474</v>
      </c>
      <c r="C21" s="2" t="s">
        <v>120</v>
      </c>
      <c r="D21" s="9" t="str">
        <f t="shared" si="0"/>
        <v>Ausente</v>
      </c>
    </row>
    <row r="22" spans="1:4" ht="15.75" customHeight="1">
      <c r="A22" s="2" t="s">
        <v>42</v>
      </c>
      <c r="B22" s="7">
        <v>45474</v>
      </c>
      <c r="C22" s="2" t="s">
        <v>119</v>
      </c>
      <c r="D22" s="9" t="str">
        <f t="shared" si="0"/>
        <v>Presente</v>
      </c>
    </row>
    <row r="23" spans="1:4" ht="15.75" customHeight="1">
      <c r="A23" s="2" t="s">
        <v>44</v>
      </c>
      <c r="B23" s="7">
        <v>45474</v>
      </c>
      <c r="C23" s="2" t="s">
        <v>120</v>
      </c>
      <c r="D23" s="9" t="str">
        <f t="shared" si="0"/>
        <v>Ausente</v>
      </c>
    </row>
    <row r="24" spans="1:4" ht="15.75" customHeight="1">
      <c r="A24" s="2" t="s">
        <v>46</v>
      </c>
      <c r="B24" s="7">
        <v>45474</v>
      </c>
      <c r="C24" s="2" t="s">
        <v>119</v>
      </c>
      <c r="D24" s="9" t="str">
        <f t="shared" si="0"/>
        <v>Presente</v>
      </c>
    </row>
    <row r="25" spans="1:4" ht="15.75" customHeight="1">
      <c r="A25" s="2" t="s">
        <v>48</v>
      </c>
      <c r="B25" s="7">
        <v>45474</v>
      </c>
      <c r="C25" s="2" t="s">
        <v>120</v>
      </c>
      <c r="D25" s="9" t="str">
        <f t="shared" si="0"/>
        <v>Ausente</v>
      </c>
    </row>
    <row r="26" spans="1:4" ht="15.75" customHeight="1">
      <c r="A26" s="2" t="s">
        <v>50</v>
      </c>
      <c r="B26" s="7">
        <v>45474</v>
      </c>
      <c r="C26" s="2" t="s">
        <v>119</v>
      </c>
      <c r="D26" s="9" t="str">
        <f t="shared" si="0"/>
        <v>Presente</v>
      </c>
    </row>
    <row r="27" spans="1:4" ht="15.75" customHeight="1">
      <c r="A27" s="2" t="s">
        <v>52</v>
      </c>
      <c r="B27" s="7">
        <v>45474</v>
      </c>
      <c r="C27" s="2" t="s">
        <v>120</v>
      </c>
      <c r="D27" s="9" t="str">
        <f t="shared" si="0"/>
        <v>Ausente</v>
      </c>
    </row>
    <row r="28" spans="1:4" ht="15.75" customHeight="1">
      <c r="A28" s="2" t="s">
        <v>54</v>
      </c>
      <c r="B28" s="7">
        <v>45474</v>
      </c>
      <c r="C28" s="2" t="s">
        <v>119</v>
      </c>
      <c r="D28" s="9" t="str">
        <f t="shared" si="0"/>
        <v>Presente</v>
      </c>
    </row>
    <row r="29" spans="1:4" ht="15.75" customHeight="1">
      <c r="A29" s="2" t="s">
        <v>56</v>
      </c>
      <c r="B29" s="7">
        <v>45474</v>
      </c>
      <c r="C29" s="2" t="s">
        <v>120</v>
      </c>
      <c r="D29" s="9" t="str">
        <f t="shared" si="0"/>
        <v>Ausente</v>
      </c>
    </row>
    <row r="30" spans="1:4" ht="15.75" customHeight="1">
      <c r="A30" s="2" t="s">
        <v>58</v>
      </c>
      <c r="B30" s="7">
        <v>45474</v>
      </c>
      <c r="C30" s="2" t="s">
        <v>119</v>
      </c>
      <c r="D30" s="9" t="str">
        <f t="shared" si="0"/>
        <v>Presente</v>
      </c>
    </row>
    <row r="31" spans="1:4" ht="15.75" customHeight="1">
      <c r="A31" s="2" t="s">
        <v>60</v>
      </c>
      <c r="B31" s="7">
        <v>45474</v>
      </c>
      <c r="C31" s="2" t="s">
        <v>120</v>
      </c>
      <c r="D31" s="9" t="str">
        <f t="shared" si="0"/>
        <v>Ausente</v>
      </c>
    </row>
    <row r="32" spans="1:4" ht="15.75" customHeight="1">
      <c r="A32" s="2" t="s">
        <v>62</v>
      </c>
      <c r="B32" s="7">
        <v>45474</v>
      </c>
      <c r="C32" s="2" t="s">
        <v>119</v>
      </c>
      <c r="D32" s="9" t="str">
        <f t="shared" si="0"/>
        <v>Presente</v>
      </c>
    </row>
    <row r="33" spans="1:4" ht="15.75" customHeight="1">
      <c r="A33" s="2" t="s">
        <v>64</v>
      </c>
      <c r="B33" s="7">
        <v>45474</v>
      </c>
      <c r="C33" s="2" t="s">
        <v>120</v>
      </c>
      <c r="D33" s="9" t="str">
        <f t="shared" si="0"/>
        <v>Ausente</v>
      </c>
    </row>
    <row r="34" spans="1:4" ht="15.75" customHeight="1">
      <c r="A34" s="2" t="s">
        <v>66</v>
      </c>
      <c r="B34" s="7">
        <v>45474</v>
      </c>
      <c r="C34" s="2" t="s">
        <v>119</v>
      </c>
      <c r="D34" s="9" t="str">
        <f t="shared" si="0"/>
        <v>Presente</v>
      </c>
    </row>
    <row r="35" spans="1:4" ht="15.75" customHeight="1">
      <c r="A35" s="2" t="s">
        <v>68</v>
      </c>
      <c r="B35" s="7">
        <v>45474</v>
      </c>
      <c r="C35" s="2" t="s">
        <v>120</v>
      </c>
      <c r="D35" s="9" t="str">
        <f t="shared" si="0"/>
        <v>Ausente</v>
      </c>
    </row>
    <row r="36" spans="1:4" ht="15.75" customHeight="1">
      <c r="A36" s="2" t="s">
        <v>70</v>
      </c>
      <c r="B36" s="7">
        <v>45474</v>
      </c>
      <c r="C36" s="2" t="s">
        <v>119</v>
      </c>
      <c r="D36" s="9" t="str">
        <f t="shared" si="0"/>
        <v>Presente</v>
      </c>
    </row>
    <row r="37" spans="1:4" ht="15.75" customHeight="1">
      <c r="A37" s="2" t="s">
        <v>72</v>
      </c>
      <c r="B37" s="7">
        <v>45474</v>
      </c>
      <c r="C37" s="2" t="s">
        <v>120</v>
      </c>
      <c r="D37" s="9" t="str">
        <f t="shared" si="0"/>
        <v>Ausente</v>
      </c>
    </row>
    <row r="38" spans="1:4" ht="15.75" customHeight="1">
      <c r="A38" s="2" t="s">
        <v>74</v>
      </c>
      <c r="B38" s="7">
        <v>45474</v>
      </c>
      <c r="C38" s="2" t="s">
        <v>119</v>
      </c>
      <c r="D38" s="9" t="str">
        <f t="shared" si="0"/>
        <v>Presente</v>
      </c>
    </row>
    <row r="39" spans="1:4" ht="15.75" customHeight="1">
      <c r="A39" s="2" t="s">
        <v>76</v>
      </c>
      <c r="B39" s="7">
        <v>45474</v>
      </c>
      <c r="C39" s="2" t="s">
        <v>120</v>
      </c>
      <c r="D39" s="9" t="str">
        <f t="shared" si="0"/>
        <v>Ausente</v>
      </c>
    </row>
    <row r="40" spans="1:4" ht="15.75" customHeight="1">
      <c r="A40" s="2" t="s">
        <v>78</v>
      </c>
      <c r="B40" s="7">
        <v>45474</v>
      </c>
      <c r="C40" s="2" t="s">
        <v>119</v>
      </c>
      <c r="D40" s="9" t="str">
        <f t="shared" si="0"/>
        <v>Presente</v>
      </c>
    </row>
    <row r="41" spans="1:4" ht="15.75" customHeight="1">
      <c r="A41" s="2" t="s">
        <v>80</v>
      </c>
      <c r="B41" s="7">
        <v>45474</v>
      </c>
      <c r="C41" s="2" t="s">
        <v>120</v>
      </c>
      <c r="D41" s="9" t="str">
        <f t="shared" si="0"/>
        <v>Ausente</v>
      </c>
    </row>
    <row r="42" spans="1:4" ht="15.75" customHeight="1">
      <c r="A42" s="2" t="s">
        <v>82</v>
      </c>
      <c r="B42" s="7">
        <v>45474</v>
      </c>
      <c r="C42" s="2" t="s">
        <v>119</v>
      </c>
      <c r="D42" s="9" t="str">
        <f t="shared" si="0"/>
        <v>Presente</v>
      </c>
    </row>
    <row r="43" spans="1:4" ht="15.75" customHeight="1">
      <c r="A43" s="2" t="s">
        <v>84</v>
      </c>
      <c r="B43" s="7">
        <v>45474</v>
      </c>
      <c r="C43" s="2" t="s">
        <v>120</v>
      </c>
      <c r="D43" s="9" t="str">
        <f t="shared" si="0"/>
        <v>Ausente</v>
      </c>
    </row>
    <row r="44" spans="1:4" ht="15.75" customHeight="1">
      <c r="A44" s="2" t="s">
        <v>86</v>
      </c>
      <c r="B44" s="7">
        <v>45474</v>
      </c>
      <c r="C44" s="2" t="s">
        <v>119</v>
      </c>
      <c r="D44" s="9" t="str">
        <f t="shared" si="0"/>
        <v>Presente</v>
      </c>
    </row>
    <row r="45" spans="1:4" ht="15.75" customHeight="1">
      <c r="A45" s="2" t="s">
        <v>88</v>
      </c>
      <c r="B45" s="7">
        <v>45474</v>
      </c>
      <c r="C45" s="2" t="s">
        <v>120</v>
      </c>
      <c r="D45" s="9" t="str">
        <f t="shared" si="0"/>
        <v>Ausente</v>
      </c>
    </row>
    <row r="46" spans="1:4" ht="15.75" customHeight="1">
      <c r="A46" s="2" t="s">
        <v>90</v>
      </c>
      <c r="B46" s="7">
        <v>45474</v>
      </c>
      <c r="C46" s="2" t="s">
        <v>119</v>
      </c>
      <c r="D46" s="9" t="str">
        <f t="shared" si="0"/>
        <v>Presente</v>
      </c>
    </row>
    <row r="47" spans="1:4" ht="15.75" customHeight="1">
      <c r="A47" s="2" t="s">
        <v>92</v>
      </c>
      <c r="B47" s="7">
        <v>45474</v>
      </c>
      <c r="C47" s="2" t="s">
        <v>120</v>
      </c>
      <c r="D47" s="9" t="str">
        <f t="shared" si="0"/>
        <v>Ausente</v>
      </c>
    </row>
    <row r="48" spans="1:4" ht="15.75" customHeight="1">
      <c r="A48" s="2" t="s">
        <v>94</v>
      </c>
      <c r="B48" s="7">
        <v>45474</v>
      </c>
      <c r="C48" s="2" t="s">
        <v>119</v>
      </c>
      <c r="D48" s="9" t="str">
        <f t="shared" si="0"/>
        <v>Presente</v>
      </c>
    </row>
    <row r="49" spans="1:4" ht="15.75" customHeight="1">
      <c r="A49" s="2" t="s">
        <v>96</v>
      </c>
      <c r="B49" s="7">
        <v>45474</v>
      </c>
      <c r="C49" s="2" t="s">
        <v>120</v>
      </c>
      <c r="D49" s="9" t="str">
        <f t="shared" si="0"/>
        <v>Ausente</v>
      </c>
    </row>
    <row r="50" spans="1:4" ht="15.75" customHeight="1">
      <c r="A50" s="2" t="s">
        <v>98</v>
      </c>
      <c r="B50" s="7">
        <v>45474</v>
      </c>
      <c r="C50" s="2" t="s">
        <v>119</v>
      </c>
      <c r="D50" s="9" t="str">
        <f t="shared" si="0"/>
        <v>Presente</v>
      </c>
    </row>
    <row r="51" spans="1:4" ht="15.75" customHeight="1">
      <c r="A51" s="2" t="s">
        <v>100</v>
      </c>
      <c r="B51" s="7">
        <v>45474</v>
      </c>
      <c r="C51" s="2" t="s">
        <v>120</v>
      </c>
      <c r="D51" s="9" t="str">
        <f t="shared" si="0"/>
        <v>Ausente</v>
      </c>
    </row>
    <row r="52" spans="1:4" ht="15.75" customHeight="1">
      <c r="A52" s="2" t="s">
        <v>2</v>
      </c>
      <c r="B52" s="7">
        <v>45475</v>
      </c>
      <c r="C52" s="8" t="s">
        <v>120</v>
      </c>
      <c r="D52" s="9" t="str">
        <f t="shared" si="0"/>
        <v>Ausente</v>
      </c>
    </row>
    <row r="53" spans="1:4" ht="15.75" customHeight="1">
      <c r="A53" s="2" t="s">
        <v>4</v>
      </c>
      <c r="B53" s="7">
        <v>45475</v>
      </c>
      <c r="C53" s="8" t="s">
        <v>119</v>
      </c>
      <c r="D53" s="9" t="str">
        <f t="shared" si="0"/>
        <v>Presente</v>
      </c>
    </row>
    <row r="54" spans="1:4" ht="15.75" customHeight="1">
      <c r="A54" s="2" t="s">
        <v>6</v>
      </c>
      <c r="B54" s="7">
        <v>45475</v>
      </c>
      <c r="C54" s="8" t="s">
        <v>120</v>
      </c>
      <c r="D54" s="9" t="str">
        <f t="shared" si="0"/>
        <v>Ausente</v>
      </c>
    </row>
    <row r="55" spans="1:4" ht="15.75" customHeight="1">
      <c r="A55" s="2" t="s">
        <v>8</v>
      </c>
      <c r="B55" s="7">
        <v>45475</v>
      </c>
      <c r="C55" s="8" t="s">
        <v>120</v>
      </c>
      <c r="D55" s="9" t="str">
        <f t="shared" si="0"/>
        <v>Ausente</v>
      </c>
    </row>
    <row r="56" spans="1:4" ht="15.75" customHeight="1">
      <c r="A56" s="2" t="s">
        <v>10</v>
      </c>
      <c r="B56" s="7">
        <v>45475</v>
      </c>
      <c r="C56" s="8" t="s">
        <v>120</v>
      </c>
      <c r="D56" s="9" t="str">
        <f t="shared" si="0"/>
        <v>Ausente</v>
      </c>
    </row>
    <row r="57" spans="1:4" ht="15.75" customHeight="1">
      <c r="A57" s="2" t="s">
        <v>12</v>
      </c>
      <c r="B57" s="7">
        <v>45475</v>
      </c>
      <c r="C57" s="8" t="s">
        <v>120</v>
      </c>
      <c r="D57" s="9" t="str">
        <f t="shared" si="0"/>
        <v>Ausente</v>
      </c>
    </row>
    <row r="58" spans="1:4" ht="15.75" customHeight="1">
      <c r="A58" s="2" t="s">
        <v>14</v>
      </c>
      <c r="B58" s="7">
        <v>45475</v>
      </c>
      <c r="C58" s="8" t="s">
        <v>120</v>
      </c>
      <c r="D58" s="9" t="str">
        <f t="shared" si="0"/>
        <v>Ausente</v>
      </c>
    </row>
    <row r="59" spans="1:4" ht="15.75" customHeight="1">
      <c r="A59" s="2" t="s">
        <v>16</v>
      </c>
      <c r="B59" s="7">
        <v>45475</v>
      </c>
      <c r="C59" s="8" t="s">
        <v>119</v>
      </c>
      <c r="D59" s="9" t="str">
        <f t="shared" si="0"/>
        <v>Presente</v>
      </c>
    </row>
    <row r="60" spans="1:4" ht="15.75" customHeight="1">
      <c r="A60" s="2" t="s">
        <v>18</v>
      </c>
      <c r="B60" s="7">
        <v>45475</v>
      </c>
      <c r="C60" s="8" t="s">
        <v>119</v>
      </c>
      <c r="D60" s="9" t="str">
        <f t="shared" si="0"/>
        <v>Presente</v>
      </c>
    </row>
    <row r="61" spans="1:4" ht="15.75" customHeight="1">
      <c r="A61" s="2" t="s">
        <v>20</v>
      </c>
      <c r="B61" s="7">
        <v>45475</v>
      </c>
      <c r="C61" s="8" t="s">
        <v>119</v>
      </c>
      <c r="D61" s="9" t="str">
        <f t="shared" si="0"/>
        <v>Presente</v>
      </c>
    </row>
    <row r="62" spans="1:4" ht="15.75" customHeight="1">
      <c r="A62" s="2" t="s">
        <v>22</v>
      </c>
      <c r="B62" s="7">
        <v>45475</v>
      </c>
      <c r="C62" s="8" t="s">
        <v>120</v>
      </c>
      <c r="D62" s="9" t="str">
        <f t="shared" si="0"/>
        <v>Ausente</v>
      </c>
    </row>
    <row r="63" spans="1:4" ht="15.75" customHeight="1">
      <c r="A63" s="2" t="s">
        <v>24</v>
      </c>
      <c r="B63" s="7">
        <v>45475</v>
      </c>
      <c r="C63" s="8" t="s">
        <v>120</v>
      </c>
      <c r="D63" s="9" t="str">
        <f t="shared" si="0"/>
        <v>Ausente</v>
      </c>
    </row>
    <row r="64" spans="1:4" ht="15.75" customHeight="1">
      <c r="A64" s="2" t="s">
        <v>26</v>
      </c>
      <c r="B64" s="7">
        <v>45475</v>
      </c>
      <c r="C64" s="8" t="s">
        <v>119</v>
      </c>
      <c r="D64" s="9" t="str">
        <f t="shared" si="0"/>
        <v>Presente</v>
      </c>
    </row>
    <row r="65" spans="1:4" ht="15.75" customHeight="1">
      <c r="A65" s="2" t="s">
        <v>28</v>
      </c>
      <c r="B65" s="7">
        <v>45475</v>
      </c>
      <c r="C65" s="8" t="s">
        <v>119</v>
      </c>
      <c r="D65" s="9" t="str">
        <f t="shared" si="0"/>
        <v>Presente</v>
      </c>
    </row>
    <row r="66" spans="1:4" ht="15.75" customHeight="1">
      <c r="A66" s="2" t="s">
        <v>30</v>
      </c>
      <c r="B66" s="7">
        <v>45475</v>
      </c>
      <c r="C66" s="8" t="s">
        <v>119</v>
      </c>
      <c r="D66" s="9" t="str">
        <f t="shared" si="0"/>
        <v>Presente</v>
      </c>
    </row>
    <row r="67" spans="1:4" ht="15.75" customHeight="1">
      <c r="A67" s="2" t="s">
        <v>32</v>
      </c>
      <c r="B67" s="7">
        <v>45475</v>
      </c>
      <c r="C67" s="8" t="s">
        <v>120</v>
      </c>
      <c r="D67" s="9" t="str">
        <f t="shared" ref="D67:D130" si="1">IF(C67="Yes","Presente","Ausente")</f>
        <v>Ausente</v>
      </c>
    </row>
    <row r="68" spans="1:4" ht="15.75" customHeight="1">
      <c r="A68" s="2" t="s">
        <v>34</v>
      </c>
      <c r="B68" s="7">
        <v>45475</v>
      </c>
      <c r="C68" s="8" t="s">
        <v>120</v>
      </c>
      <c r="D68" s="9" t="str">
        <f t="shared" si="1"/>
        <v>Ausente</v>
      </c>
    </row>
    <row r="69" spans="1:4" ht="15.75" customHeight="1">
      <c r="A69" s="2" t="s">
        <v>36</v>
      </c>
      <c r="B69" s="7">
        <v>45475</v>
      </c>
      <c r="C69" s="8" t="s">
        <v>119</v>
      </c>
      <c r="D69" s="9" t="str">
        <f t="shared" si="1"/>
        <v>Presente</v>
      </c>
    </row>
    <row r="70" spans="1:4" ht="15.75" customHeight="1">
      <c r="A70" s="2" t="s">
        <v>38</v>
      </c>
      <c r="B70" s="7">
        <v>45475</v>
      </c>
      <c r="C70" s="8" t="s">
        <v>119</v>
      </c>
      <c r="D70" s="9" t="str">
        <f t="shared" si="1"/>
        <v>Presente</v>
      </c>
    </row>
    <row r="71" spans="1:4" ht="15.75" customHeight="1">
      <c r="A71" s="2" t="s">
        <v>40</v>
      </c>
      <c r="B71" s="7">
        <v>45475</v>
      </c>
      <c r="C71" s="8" t="s">
        <v>120</v>
      </c>
      <c r="D71" s="9" t="str">
        <f t="shared" si="1"/>
        <v>Ausente</v>
      </c>
    </row>
    <row r="72" spans="1:4" ht="15.75" customHeight="1">
      <c r="A72" s="2" t="s">
        <v>42</v>
      </c>
      <c r="B72" s="7">
        <v>45475</v>
      </c>
      <c r="C72" s="8" t="s">
        <v>120</v>
      </c>
      <c r="D72" s="9" t="str">
        <f t="shared" si="1"/>
        <v>Ausente</v>
      </c>
    </row>
    <row r="73" spans="1:4" ht="15.75" customHeight="1">
      <c r="A73" s="2" t="s">
        <v>44</v>
      </c>
      <c r="B73" s="7">
        <v>45475</v>
      </c>
      <c r="C73" s="8" t="s">
        <v>119</v>
      </c>
      <c r="D73" s="9" t="str">
        <f t="shared" si="1"/>
        <v>Presente</v>
      </c>
    </row>
    <row r="74" spans="1:4" ht="15.75" customHeight="1">
      <c r="A74" s="2" t="s">
        <v>46</v>
      </c>
      <c r="B74" s="7">
        <v>45475</v>
      </c>
      <c r="C74" s="8" t="s">
        <v>119</v>
      </c>
      <c r="D74" s="9" t="str">
        <f t="shared" si="1"/>
        <v>Presente</v>
      </c>
    </row>
    <row r="75" spans="1:4" ht="15.75" customHeight="1">
      <c r="A75" s="2" t="s">
        <v>48</v>
      </c>
      <c r="B75" s="7">
        <v>45475</v>
      </c>
      <c r="C75" s="8" t="s">
        <v>119</v>
      </c>
      <c r="D75" s="9" t="str">
        <f t="shared" si="1"/>
        <v>Presente</v>
      </c>
    </row>
    <row r="76" spans="1:4" ht="15.75" customHeight="1">
      <c r="A76" s="2" t="s">
        <v>50</v>
      </c>
      <c r="B76" s="7">
        <v>45475</v>
      </c>
      <c r="C76" s="8" t="s">
        <v>120</v>
      </c>
      <c r="D76" s="9" t="str">
        <f t="shared" si="1"/>
        <v>Ausente</v>
      </c>
    </row>
    <row r="77" spans="1:4" ht="15.75" customHeight="1">
      <c r="A77" s="2" t="s">
        <v>52</v>
      </c>
      <c r="B77" s="7">
        <v>45475</v>
      </c>
      <c r="C77" s="8" t="s">
        <v>119</v>
      </c>
      <c r="D77" s="9" t="str">
        <f t="shared" si="1"/>
        <v>Presente</v>
      </c>
    </row>
    <row r="78" spans="1:4" ht="15.75" customHeight="1">
      <c r="A78" s="2" t="s">
        <v>54</v>
      </c>
      <c r="B78" s="7">
        <v>45475</v>
      </c>
      <c r="C78" s="8" t="s">
        <v>119</v>
      </c>
      <c r="D78" s="9" t="str">
        <f t="shared" si="1"/>
        <v>Presente</v>
      </c>
    </row>
    <row r="79" spans="1:4" ht="15.75" customHeight="1">
      <c r="A79" s="2" t="s">
        <v>56</v>
      </c>
      <c r="B79" s="7">
        <v>45475</v>
      </c>
      <c r="C79" s="8" t="s">
        <v>120</v>
      </c>
      <c r="D79" s="9" t="str">
        <f t="shared" si="1"/>
        <v>Ausente</v>
      </c>
    </row>
    <row r="80" spans="1:4" ht="15.75" customHeight="1">
      <c r="A80" s="2" t="s">
        <v>58</v>
      </c>
      <c r="B80" s="7">
        <v>45475</v>
      </c>
      <c r="C80" s="8" t="s">
        <v>120</v>
      </c>
      <c r="D80" s="9" t="str">
        <f t="shared" si="1"/>
        <v>Ausente</v>
      </c>
    </row>
    <row r="81" spans="1:4" ht="15.75" customHeight="1">
      <c r="A81" s="2" t="s">
        <v>60</v>
      </c>
      <c r="B81" s="7">
        <v>45475</v>
      </c>
      <c r="C81" s="8" t="s">
        <v>119</v>
      </c>
      <c r="D81" s="9" t="str">
        <f t="shared" si="1"/>
        <v>Presente</v>
      </c>
    </row>
    <row r="82" spans="1:4" ht="15.75" customHeight="1">
      <c r="A82" s="2" t="s">
        <v>62</v>
      </c>
      <c r="B82" s="7">
        <v>45475</v>
      </c>
      <c r="C82" s="8" t="s">
        <v>120</v>
      </c>
      <c r="D82" s="9" t="str">
        <f t="shared" si="1"/>
        <v>Ausente</v>
      </c>
    </row>
    <row r="83" spans="1:4" ht="15.75" customHeight="1">
      <c r="A83" s="2" t="s">
        <v>64</v>
      </c>
      <c r="B83" s="7">
        <v>45475</v>
      </c>
      <c r="C83" s="8" t="s">
        <v>120</v>
      </c>
      <c r="D83" s="9" t="str">
        <f t="shared" si="1"/>
        <v>Ausente</v>
      </c>
    </row>
    <row r="84" spans="1:4" ht="15.75" customHeight="1">
      <c r="A84" s="2" t="s">
        <v>66</v>
      </c>
      <c r="B84" s="7">
        <v>45475</v>
      </c>
      <c r="C84" s="8" t="s">
        <v>119</v>
      </c>
      <c r="D84" s="9" t="str">
        <f t="shared" si="1"/>
        <v>Presente</v>
      </c>
    </row>
    <row r="85" spans="1:4" ht="15.75" customHeight="1">
      <c r="A85" s="2" t="s">
        <v>68</v>
      </c>
      <c r="B85" s="7">
        <v>45475</v>
      </c>
      <c r="C85" s="8" t="s">
        <v>120</v>
      </c>
      <c r="D85" s="9" t="str">
        <f t="shared" si="1"/>
        <v>Ausente</v>
      </c>
    </row>
    <row r="86" spans="1:4" ht="15.75" customHeight="1">
      <c r="A86" s="2" t="s">
        <v>70</v>
      </c>
      <c r="B86" s="7">
        <v>45475</v>
      </c>
      <c r="C86" s="8" t="s">
        <v>119</v>
      </c>
      <c r="D86" s="9" t="str">
        <f t="shared" si="1"/>
        <v>Presente</v>
      </c>
    </row>
    <row r="87" spans="1:4" ht="15.75" customHeight="1">
      <c r="A87" s="2" t="s">
        <v>72</v>
      </c>
      <c r="B87" s="7">
        <v>45475</v>
      </c>
      <c r="C87" s="8" t="s">
        <v>119</v>
      </c>
      <c r="D87" s="9" t="str">
        <f t="shared" si="1"/>
        <v>Presente</v>
      </c>
    </row>
    <row r="88" spans="1:4" ht="15.75" customHeight="1">
      <c r="A88" s="2" t="s">
        <v>74</v>
      </c>
      <c r="B88" s="7">
        <v>45475</v>
      </c>
      <c r="C88" s="8" t="s">
        <v>119</v>
      </c>
      <c r="D88" s="9" t="str">
        <f t="shared" si="1"/>
        <v>Presente</v>
      </c>
    </row>
    <row r="89" spans="1:4" ht="15.75" customHeight="1">
      <c r="A89" s="2" t="s">
        <v>76</v>
      </c>
      <c r="B89" s="7">
        <v>45475</v>
      </c>
      <c r="C89" s="8" t="s">
        <v>119</v>
      </c>
      <c r="D89" s="9" t="str">
        <f t="shared" si="1"/>
        <v>Presente</v>
      </c>
    </row>
    <row r="90" spans="1:4" ht="15.75" customHeight="1">
      <c r="A90" s="2" t="s">
        <v>78</v>
      </c>
      <c r="B90" s="7">
        <v>45475</v>
      </c>
      <c r="C90" s="8" t="s">
        <v>119</v>
      </c>
      <c r="D90" s="9" t="str">
        <f t="shared" si="1"/>
        <v>Presente</v>
      </c>
    </row>
    <row r="91" spans="1:4" ht="15.75" customHeight="1">
      <c r="A91" s="2" t="s">
        <v>80</v>
      </c>
      <c r="B91" s="7">
        <v>45475</v>
      </c>
      <c r="C91" s="8" t="s">
        <v>120</v>
      </c>
      <c r="D91" s="9" t="str">
        <f t="shared" si="1"/>
        <v>Ausente</v>
      </c>
    </row>
    <row r="92" spans="1:4" ht="15.75" customHeight="1">
      <c r="A92" s="2" t="s">
        <v>82</v>
      </c>
      <c r="B92" s="7">
        <v>45475</v>
      </c>
      <c r="C92" s="8" t="s">
        <v>120</v>
      </c>
      <c r="D92" s="9" t="str">
        <f t="shared" si="1"/>
        <v>Ausente</v>
      </c>
    </row>
    <row r="93" spans="1:4" ht="15.75" customHeight="1">
      <c r="A93" s="2" t="s">
        <v>84</v>
      </c>
      <c r="B93" s="7">
        <v>45475</v>
      </c>
      <c r="C93" s="8" t="s">
        <v>120</v>
      </c>
      <c r="D93" s="9" t="str">
        <f t="shared" si="1"/>
        <v>Ausente</v>
      </c>
    </row>
    <row r="94" spans="1:4" ht="15.75" customHeight="1">
      <c r="A94" s="2" t="s">
        <v>86</v>
      </c>
      <c r="B94" s="7">
        <v>45475</v>
      </c>
      <c r="C94" s="8" t="s">
        <v>119</v>
      </c>
      <c r="D94" s="9" t="str">
        <f t="shared" si="1"/>
        <v>Presente</v>
      </c>
    </row>
    <row r="95" spans="1:4" ht="15.75" customHeight="1">
      <c r="A95" s="2" t="s">
        <v>88</v>
      </c>
      <c r="B95" s="7">
        <v>45475</v>
      </c>
      <c r="C95" s="8" t="s">
        <v>119</v>
      </c>
      <c r="D95" s="9" t="str">
        <f t="shared" si="1"/>
        <v>Presente</v>
      </c>
    </row>
    <row r="96" spans="1:4" ht="15.75" customHeight="1">
      <c r="A96" s="2" t="s">
        <v>90</v>
      </c>
      <c r="B96" s="7">
        <v>45475</v>
      </c>
      <c r="C96" s="8" t="s">
        <v>120</v>
      </c>
      <c r="D96" s="9" t="str">
        <f t="shared" si="1"/>
        <v>Ausente</v>
      </c>
    </row>
    <row r="97" spans="1:4" ht="15.75" customHeight="1">
      <c r="A97" s="2" t="s">
        <v>92</v>
      </c>
      <c r="B97" s="7">
        <v>45475</v>
      </c>
      <c r="C97" s="8" t="s">
        <v>119</v>
      </c>
      <c r="D97" s="9" t="str">
        <f t="shared" si="1"/>
        <v>Presente</v>
      </c>
    </row>
    <row r="98" spans="1:4" ht="15.75" customHeight="1">
      <c r="A98" s="2" t="s">
        <v>94</v>
      </c>
      <c r="B98" s="7">
        <v>45475</v>
      </c>
      <c r="C98" s="8" t="s">
        <v>119</v>
      </c>
      <c r="D98" s="9" t="str">
        <f t="shared" si="1"/>
        <v>Presente</v>
      </c>
    </row>
    <row r="99" spans="1:4" ht="15.75" customHeight="1">
      <c r="A99" s="2" t="s">
        <v>96</v>
      </c>
      <c r="B99" s="7">
        <v>45475</v>
      </c>
      <c r="C99" s="8" t="s">
        <v>120</v>
      </c>
      <c r="D99" s="9" t="str">
        <f t="shared" si="1"/>
        <v>Ausente</v>
      </c>
    </row>
    <row r="100" spans="1:4" ht="15.75" customHeight="1">
      <c r="A100" s="2" t="s">
        <v>98</v>
      </c>
      <c r="B100" s="7">
        <v>45475</v>
      </c>
      <c r="C100" s="8" t="s">
        <v>120</v>
      </c>
      <c r="D100" s="9" t="str">
        <f t="shared" si="1"/>
        <v>Ausente</v>
      </c>
    </row>
    <row r="101" spans="1:4" ht="15.75" customHeight="1">
      <c r="A101" s="2" t="s">
        <v>100</v>
      </c>
      <c r="B101" s="7">
        <v>45475</v>
      </c>
      <c r="C101" s="8" t="s">
        <v>120</v>
      </c>
      <c r="D101" s="9" t="str">
        <f t="shared" si="1"/>
        <v>Ausente</v>
      </c>
    </row>
    <row r="102" spans="1:4" ht="15.75" customHeight="1">
      <c r="A102" s="2" t="s">
        <v>2</v>
      </c>
      <c r="B102" s="7">
        <v>45476</v>
      </c>
      <c r="C102" s="8" t="s">
        <v>120</v>
      </c>
      <c r="D102" s="9" t="str">
        <f t="shared" si="1"/>
        <v>Ausente</v>
      </c>
    </row>
    <row r="103" spans="1:4" ht="15.75" customHeight="1">
      <c r="A103" s="2" t="s">
        <v>4</v>
      </c>
      <c r="B103" s="7">
        <v>45476</v>
      </c>
      <c r="C103" s="8" t="s">
        <v>119</v>
      </c>
      <c r="D103" s="9" t="str">
        <f t="shared" si="1"/>
        <v>Presente</v>
      </c>
    </row>
    <row r="104" spans="1:4" ht="15.75" customHeight="1">
      <c r="A104" s="2" t="s">
        <v>6</v>
      </c>
      <c r="B104" s="7">
        <v>45476</v>
      </c>
      <c r="C104" s="8" t="s">
        <v>119</v>
      </c>
      <c r="D104" s="9" t="str">
        <f t="shared" si="1"/>
        <v>Presente</v>
      </c>
    </row>
    <row r="105" spans="1:4" ht="15.75" customHeight="1">
      <c r="A105" s="2" t="s">
        <v>8</v>
      </c>
      <c r="B105" s="7">
        <v>45476</v>
      </c>
      <c r="C105" s="8" t="s">
        <v>119</v>
      </c>
      <c r="D105" s="9" t="str">
        <f t="shared" si="1"/>
        <v>Presente</v>
      </c>
    </row>
    <row r="106" spans="1:4" ht="15.75" customHeight="1">
      <c r="A106" s="2" t="s">
        <v>10</v>
      </c>
      <c r="B106" s="7">
        <v>45476</v>
      </c>
      <c r="C106" s="8" t="s">
        <v>119</v>
      </c>
      <c r="D106" s="9" t="str">
        <f t="shared" si="1"/>
        <v>Presente</v>
      </c>
    </row>
    <row r="107" spans="1:4" ht="15.75" customHeight="1">
      <c r="A107" s="2" t="s">
        <v>12</v>
      </c>
      <c r="B107" s="7">
        <v>45476</v>
      </c>
      <c r="C107" s="8" t="s">
        <v>119</v>
      </c>
      <c r="D107" s="9" t="str">
        <f t="shared" si="1"/>
        <v>Presente</v>
      </c>
    </row>
    <row r="108" spans="1:4" ht="15.75" customHeight="1">
      <c r="A108" s="2" t="s">
        <v>14</v>
      </c>
      <c r="B108" s="7">
        <v>45476</v>
      </c>
      <c r="C108" s="8" t="s">
        <v>119</v>
      </c>
      <c r="D108" s="9" t="str">
        <f t="shared" si="1"/>
        <v>Presente</v>
      </c>
    </row>
    <row r="109" spans="1:4" ht="15.75" customHeight="1">
      <c r="A109" s="2" t="s">
        <v>16</v>
      </c>
      <c r="B109" s="7">
        <v>45476</v>
      </c>
      <c r="C109" s="8" t="s">
        <v>119</v>
      </c>
      <c r="D109" s="9" t="str">
        <f t="shared" si="1"/>
        <v>Presente</v>
      </c>
    </row>
    <row r="110" spans="1:4" ht="15.75" customHeight="1">
      <c r="A110" s="2" t="s">
        <v>18</v>
      </c>
      <c r="B110" s="7">
        <v>45476</v>
      </c>
      <c r="C110" s="8" t="s">
        <v>119</v>
      </c>
      <c r="D110" s="9" t="str">
        <f t="shared" si="1"/>
        <v>Presente</v>
      </c>
    </row>
    <row r="111" spans="1:4" ht="15.75" customHeight="1">
      <c r="A111" s="2" t="s">
        <v>20</v>
      </c>
      <c r="B111" s="7">
        <v>45476</v>
      </c>
      <c r="C111" s="8" t="s">
        <v>119</v>
      </c>
      <c r="D111" s="9" t="str">
        <f t="shared" si="1"/>
        <v>Presente</v>
      </c>
    </row>
    <row r="112" spans="1:4" ht="15.75" customHeight="1">
      <c r="A112" s="2" t="s">
        <v>22</v>
      </c>
      <c r="B112" s="7">
        <v>45476</v>
      </c>
      <c r="C112" s="8" t="s">
        <v>119</v>
      </c>
      <c r="D112" s="9" t="str">
        <f t="shared" si="1"/>
        <v>Presente</v>
      </c>
    </row>
    <row r="113" spans="1:4" ht="15.75" customHeight="1">
      <c r="A113" s="2" t="s">
        <v>24</v>
      </c>
      <c r="B113" s="7">
        <v>45476</v>
      </c>
      <c r="C113" s="8" t="s">
        <v>120</v>
      </c>
      <c r="D113" s="9" t="str">
        <f t="shared" si="1"/>
        <v>Ausente</v>
      </c>
    </row>
    <row r="114" spans="1:4" ht="15.75" customHeight="1">
      <c r="A114" s="2" t="s">
        <v>26</v>
      </c>
      <c r="B114" s="7">
        <v>45476</v>
      </c>
      <c r="C114" s="8" t="s">
        <v>120</v>
      </c>
      <c r="D114" s="9" t="str">
        <f t="shared" si="1"/>
        <v>Ausente</v>
      </c>
    </row>
    <row r="115" spans="1:4" ht="15.75" customHeight="1">
      <c r="A115" s="2" t="s">
        <v>28</v>
      </c>
      <c r="B115" s="7">
        <v>45476</v>
      </c>
      <c r="C115" s="8" t="s">
        <v>120</v>
      </c>
      <c r="D115" s="9" t="str">
        <f t="shared" si="1"/>
        <v>Ausente</v>
      </c>
    </row>
    <row r="116" spans="1:4" ht="15.75" customHeight="1">
      <c r="A116" s="2" t="s">
        <v>30</v>
      </c>
      <c r="B116" s="7">
        <v>45476</v>
      </c>
      <c r="C116" s="8" t="s">
        <v>120</v>
      </c>
      <c r="D116" s="9" t="str">
        <f t="shared" si="1"/>
        <v>Ausente</v>
      </c>
    </row>
    <row r="117" spans="1:4" ht="15.75" customHeight="1">
      <c r="A117" s="2" t="s">
        <v>32</v>
      </c>
      <c r="B117" s="7">
        <v>45476</v>
      </c>
      <c r="C117" s="8" t="s">
        <v>120</v>
      </c>
      <c r="D117" s="9" t="str">
        <f t="shared" si="1"/>
        <v>Ausente</v>
      </c>
    </row>
    <row r="118" spans="1:4" ht="15.75" customHeight="1">
      <c r="A118" s="2" t="s">
        <v>34</v>
      </c>
      <c r="B118" s="7">
        <v>45476</v>
      </c>
      <c r="C118" s="8" t="s">
        <v>119</v>
      </c>
      <c r="D118" s="9" t="str">
        <f t="shared" si="1"/>
        <v>Presente</v>
      </c>
    </row>
    <row r="119" spans="1:4" ht="15.75" customHeight="1">
      <c r="A119" s="2" t="s">
        <v>36</v>
      </c>
      <c r="B119" s="7">
        <v>45476</v>
      </c>
      <c r="C119" s="8" t="s">
        <v>119</v>
      </c>
      <c r="D119" s="9" t="str">
        <f t="shared" si="1"/>
        <v>Presente</v>
      </c>
    </row>
    <row r="120" spans="1:4" ht="15.75" customHeight="1">
      <c r="A120" s="2" t="s">
        <v>38</v>
      </c>
      <c r="B120" s="7">
        <v>45476</v>
      </c>
      <c r="C120" s="8" t="s">
        <v>119</v>
      </c>
      <c r="D120" s="9" t="str">
        <f t="shared" si="1"/>
        <v>Presente</v>
      </c>
    </row>
    <row r="121" spans="1:4" ht="15.75" customHeight="1">
      <c r="A121" s="2" t="s">
        <v>40</v>
      </c>
      <c r="B121" s="7">
        <v>45476</v>
      </c>
      <c r="C121" s="8" t="s">
        <v>120</v>
      </c>
      <c r="D121" s="9" t="str">
        <f t="shared" si="1"/>
        <v>Ausente</v>
      </c>
    </row>
    <row r="122" spans="1:4" ht="15.75" customHeight="1">
      <c r="A122" s="2" t="s">
        <v>42</v>
      </c>
      <c r="B122" s="7">
        <v>45476</v>
      </c>
      <c r="C122" s="8" t="s">
        <v>119</v>
      </c>
      <c r="D122" s="9" t="str">
        <f t="shared" si="1"/>
        <v>Presente</v>
      </c>
    </row>
    <row r="123" spans="1:4" ht="15.75" customHeight="1">
      <c r="A123" s="2" t="s">
        <v>44</v>
      </c>
      <c r="B123" s="7">
        <v>45476</v>
      </c>
      <c r="C123" s="8" t="s">
        <v>120</v>
      </c>
      <c r="D123" s="9" t="str">
        <f t="shared" si="1"/>
        <v>Ausente</v>
      </c>
    </row>
    <row r="124" spans="1:4" ht="15.75" customHeight="1">
      <c r="A124" s="2" t="s">
        <v>46</v>
      </c>
      <c r="B124" s="7">
        <v>45476</v>
      </c>
      <c r="C124" s="8" t="s">
        <v>120</v>
      </c>
      <c r="D124" s="9" t="str">
        <f t="shared" si="1"/>
        <v>Ausente</v>
      </c>
    </row>
    <row r="125" spans="1:4" ht="15.75" customHeight="1">
      <c r="A125" s="2" t="s">
        <v>48</v>
      </c>
      <c r="B125" s="7">
        <v>45476</v>
      </c>
      <c r="C125" s="8" t="s">
        <v>119</v>
      </c>
      <c r="D125" s="9" t="str">
        <f t="shared" si="1"/>
        <v>Presente</v>
      </c>
    </row>
    <row r="126" spans="1:4" ht="15.75" customHeight="1">
      <c r="A126" s="2" t="s">
        <v>50</v>
      </c>
      <c r="B126" s="7">
        <v>45476</v>
      </c>
      <c r="C126" s="8" t="s">
        <v>120</v>
      </c>
      <c r="D126" s="9" t="str">
        <f t="shared" si="1"/>
        <v>Ausente</v>
      </c>
    </row>
    <row r="127" spans="1:4" ht="15.75" customHeight="1">
      <c r="A127" s="2" t="s">
        <v>52</v>
      </c>
      <c r="B127" s="7">
        <v>45476</v>
      </c>
      <c r="C127" s="8" t="s">
        <v>120</v>
      </c>
      <c r="D127" s="9" t="str">
        <f t="shared" si="1"/>
        <v>Ausente</v>
      </c>
    </row>
    <row r="128" spans="1:4" ht="15.75" customHeight="1">
      <c r="A128" s="2" t="s">
        <v>54</v>
      </c>
      <c r="B128" s="7">
        <v>45476</v>
      </c>
      <c r="C128" s="8" t="s">
        <v>120</v>
      </c>
      <c r="D128" s="9" t="str">
        <f t="shared" si="1"/>
        <v>Ausente</v>
      </c>
    </row>
    <row r="129" spans="1:4" ht="15.75" customHeight="1">
      <c r="A129" s="2" t="s">
        <v>56</v>
      </c>
      <c r="B129" s="7">
        <v>45476</v>
      </c>
      <c r="C129" s="8" t="s">
        <v>120</v>
      </c>
      <c r="D129" s="9" t="str">
        <f t="shared" si="1"/>
        <v>Ausente</v>
      </c>
    </row>
    <row r="130" spans="1:4" ht="15.75" customHeight="1">
      <c r="A130" s="2" t="s">
        <v>58</v>
      </c>
      <c r="B130" s="7">
        <v>45476</v>
      </c>
      <c r="C130" s="8" t="s">
        <v>120</v>
      </c>
      <c r="D130" s="9" t="str">
        <f t="shared" si="1"/>
        <v>Ausente</v>
      </c>
    </row>
    <row r="131" spans="1:4" ht="15.75" customHeight="1">
      <c r="A131" s="2" t="s">
        <v>60</v>
      </c>
      <c r="B131" s="7">
        <v>45476</v>
      </c>
      <c r="C131" s="8" t="s">
        <v>119</v>
      </c>
      <c r="D131" s="9" t="str">
        <f t="shared" ref="D131:D194" si="2">IF(C131="Yes","Presente","Ausente")</f>
        <v>Presente</v>
      </c>
    </row>
    <row r="132" spans="1:4" ht="15.75" customHeight="1">
      <c r="A132" s="2" t="s">
        <v>62</v>
      </c>
      <c r="B132" s="7">
        <v>45476</v>
      </c>
      <c r="C132" s="8" t="s">
        <v>120</v>
      </c>
      <c r="D132" s="9" t="str">
        <f t="shared" si="2"/>
        <v>Ausente</v>
      </c>
    </row>
    <row r="133" spans="1:4" ht="15.75" customHeight="1">
      <c r="A133" s="2" t="s">
        <v>64</v>
      </c>
      <c r="B133" s="7">
        <v>45476</v>
      </c>
      <c r="C133" s="8" t="s">
        <v>120</v>
      </c>
      <c r="D133" s="9" t="str">
        <f t="shared" si="2"/>
        <v>Ausente</v>
      </c>
    </row>
    <row r="134" spans="1:4" ht="15.75" customHeight="1">
      <c r="A134" s="2" t="s">
        <v>66</v>
      </c>
      <c r="B134" s="7">
        <v>45476</v>
      </c>
      <c r="C134" s="8" t="s">
        <v>119</v>
      </c>
      <c r="D134" s="9" t="str">
        <f t="shared" si="2"/>
        <v>Presente</v>
      </c>
    </row>
    <row r="135" spans="1:4" ht="15.75" customHeight="1">
      <c r="A135" s="2" t="s">
        <v>68</v>
      </c>
      <c r="B135" s="7">
        <v>45476</v>
      </c>
      <c r="C135" s="8" t="s">
        <v>119</v>
      </c>
      <c r="D135" s="9" t="str">
        <f t="shared" si="2"/>
        <v>Presente</v>
      </c>
    </row>
    <row r="136" spans="1:4" ht="15.75" customHeight="1">
      <c r="A136" s="2" t="s">
        <v>70</v>
      </c>
      <c r="B136" s="7">
        <v>45476</v>
      </c>
      <c r="C136" s="8" t="s">
        <v>120</v>
      </c>
      <c r="D136" s="9" t="str">
        <f t="shared" si="2"/>
        <v>Ausente</v>
      </c>
    </row>
    <row r="137" spans="1:4" ht="15.75" customHeight="1">
      <c r="A137" s="2" t="s">
        <v>72</v>
      </c>
      <c r="B137" s="7">
        <v>45476</v>
      </c>
      <c r="C137" s="8" t="s">
        <v>119</v>
      </c>
      <c r="D137" s="9" t="str">
        <f t="shared" si="2"/>
        <v>Presente</v>
      </c>
    </row>
    <row r="138" spans="1:4" ht="15.75" customHeight="1">
      <c r="A138" s="2" t="s">
        <v>74</v>
      </c>
      <c r="B138" s="7">
        <v>45476</v>
      </c>
      <c r="C138" s="8" t="s">
        <v>119</v>
      </c>
      <c r="D138" s="9" t="str">
        <f t="shared" si="2"/>
        <v>Presente</v>
      </c>
    </row>
    <row r="139" spans="1:4" ht="15.75" customHeight="1">
      <c r="A139" s="2" t="s">
        <v>76</v>
      </c>
      <c r="B139" s="7">
        <v>45476</v>
      </c>
      <c r="C139" s="8" t="s">
        <v>120</v>
      </c>
      <c r="D139" s="9" t="str">
        <f t="shared" si="2"/>
        <v>Ausente</v>
      </c>
    </row>
    <row r="140" spans="1:4" ht="15.75" customHeight="1">
      <c r="A140" s="2" t="s">
        <v>78</v>
      </c>
      <c r="B140" s="7">
        <v>45476</v>
      </c>
      <c r="C140" s="8" t="s">
        <v>119</v>
      </c>
      <c r="D140" s="9" t="str">
        <f t="shared" si="2"/>
        <v>Presente</v>
      </c>
    </row>
    <row r="141" spans="1:4" ht="15.75" customHeight="1">
      <c r="A141" s="2" t="s">
        <v>80</v>
      </c>
      <c r="B141" s="7">
        <v>45476</v>
      </c>
      <c r="C141" s="8" t="s">
        <v>120</v>
      </c>
      <c r="D141" s="9" t="str">
        <f t="shared" si="2"/>
        <v>Ausente</v>
      </c>
    </row>
    <row r="142" spans="1:4" ht="15.75" customHeight="1">
      <c r="A142" s="2" t="s">
        <v>82</v>
      </c>
      <c r="B142" s="7">
        <v>45476</v>
      </c>
      <c r="C142" s="8" t="s">
        <v>119</v>
      </c>
      <c r="D142" s="9" t="str">
        <f t="shared" si="2"/>
        <v>Presente</v>
      </c>
    </row>
    <row r="143" spans="1:4" ht="15.75" customHeight="1">
      <c r="A143" s="2" t="s">
        <v>84</v>
      </c>
      <c r="B143" s="7">
        <v>45476</v>
      </c>
      <c r="C143" s="8" t="s">
        <v>120</v>
      </c>
      <c r="D143" s="9" t="str">
        <f t="shared" si="2"/>
        <v>Ausente</v>
      </c>
    </row>
    <row r="144" spans="1:4" ht="15.75" customHeight="1">
      <c r="A144" s="2" t="s">
        <v>86</v>
      </c>
      <c r="B144" s="7">
        <v>45476</v>
      </c>
      <c r="C144" s="8" t="s">
        <v>120</v>
      </c>
      <c r="D144" s="9" t="str">
        <f t="shared" si="2"/>
        <v>Ausente</v>
      </c>
    </row>
    <row r="145" spans="1:4" ht="15.75" customHeight="1">
      <c r="A145" s="2" t="s">
        <v>88</v>
      </c>
      <c r="B145" s="7">
        <v>45476</v>
      </c>
      <c r="C145" s="8" t="s">
        <v>120</v>
      </c>
      <c r="D145" s="9" t="str">
        <f t="shared" si="2"/>
        <v>Ausente</v>
      </c>
    </row>
    <row r="146" spans="1:4" ht="15.75" customHeight="1">
      <c r="A146" s="2" t="s">
        <v>90</v>
      </c>
      <c r="B146" s="7">
        <v>45476</v>
      </c>
      <c r="C146" s="8" t="s">
        <v>120</v>
      </c>
      <c r="D146" s="9" t="str">
        <f t="shared" si="2"/>
        <v>Ausente</v>
      </c>
    </row>
    <row r="147" spans="1:4" ht="15.75" customHeight="1">
      <c r="A147" s="2" t="s">
        <v>92</v>
      </c>
      <c r="B147" s="7">
        <v>45476</v>
      </c>
      <c r="C147" s="8" t="s">
        <v>119</v>
      </c>
      <c r="D147" s="9" t="str">
        <f t="shared" si="2"/>
        <v>Presente</v>
      </c>
    </row>
    <row r="148" spans="1:4" ht="15.75" customHeight="1">
      <c r="A148" s="2" t="s">
        <v>94</v>
      </c>
      <c r="B148" s="7">
        <v>45476</v>
      </c>
      <c r="C148" s="8" t="s">
        <v>119</v>
      </c>
      <c r="D148" s="9" t="str">
        <f t="shared" si="2"/>
        <v>Presente</v>
      </c>
    </row>
    <row r="149" spans="1:4" ht="15.75" customHeight="1">
      <c r="A149" s="2" t="s">
        <v>96</v>
      </c>
      <c r="B149" s="7">
        <v>45476</v>
      </c>
      <c r="C149" s="8" t="s">
        <v>120</v>
      </c>
      <c r="D149" s="9" t="str">
        <f t="shared" si="2"/>
        <v>Ausente</v>
      </c>
    </row>
    <row r="150" spans="1:4" ht="15.75" customHeight="1">
      <c r="A150" s="2" t="s">
        <v>98</v>
      </c>
      <c r="B150" s="7">
        <v>45476</v>
      </c>
      <c r="C150" s="8" t="s">
        <v>120</v>
      </c>
      <c r="D150" s="9" t="str">
        <f t="shared" si="2"/>
        <v>Ausente</v>
      </c>
    </row>
    <row r="151" spans="1:4" ht="15.75" customHeight="1">
      <c r="A151" s="2" t="s">
        <v>100</v>
      </c>
      <c r="B151" s="7">
        <v>45476</v>
      </c>
      <c r="C151" s="8" t="s">
        <v>120</v>
      </c>
      <c r="D151" s="9" t="str">
        <f t="shared" si="2"/>
        <v>Ausente</v>
      </c>
    </row>
    <row r="152" spans="1:4" ht="15.75" customHeight="1">
      <c r="A152" s="2" t="s">
        <v>2</v>
      </c>
      <c r="B152" s="7">
        <v>45477</v>
      </c>
      <c r="C152" s="8" t="s">
        <v>119</v>
      </c>
      <c r="D152" s="9" t="str">
        <f t="shared" si="2"/>
        <v>Presente</v>
      </c>
    </row>
    <row r="153" spans="1:4" ht="15.75" customHeight="1">
      <c r="A153" s="2" t="s">
        <v>4</v>
      </c>
      <c r="B153" s="7">
        <v>45477</v>
      </c>
      <c r="C153" s="8" t="s">
        <v>119</v>
      </c>
      <c r="D153" s="9" t="str">
        <f t="shared" si="2"/>
        <v>Presente</v>
      </c>
    </row>
    <row r="154" spans="1:4" ht="15.75" customHeight="1">
      <c r="A154" s="2" t="s">
        <v>6</v>
      </c>
      <c r="B154" s="7">
        <v>45477</v>
      </c>
      <c r="C154" s="8" t="s">
        <v>120</v>
      </c>
      <c r="D154" s="9" t="str">
        <f t="shared" si="2"/>
        <v>Ausente</v>
      </c>
    </row>
    <row r="155" spans="1:4" ht="15.75" customHeight="1">
      <c r="A155" s="2" t="s">
        <v>8</v>
      </c>
      <c r="B155" s="7">
        <v>45477</v>
      </c>
      <c r="C155" s="8" t="s">
        <v>119</v>
      </c>
      <c r="D155" s="9" t="str">
        <f t="shared" si="2"/>
        <v>Presente</v>
      </c>
    </row>
    <row r="156" spans="1:4" ht="15.75" customHeight="1">
      <c r="A156" s="2" t="s">
        <v>10</v>
      </c>
      <c r="B156" s="7">
        <v>45477</v>
      </c>
      <c r="C156" s="8" t="s">
        <v>119</v>
      </c>
      <c r="D156" s="9" t="str">
        <f t="shared" si="2"/>
        <v>Presente</v>
      </c>
    </row>
    <row r="157" spans="1:4" ht="15.75" customHeight="1">
      <c r="A157" s="2" t="s">
        <v>12</v>
      </c>
      <c r="B157" s="7">
        <v>45477</v>
      </c>
      <c r="C157" s="8" t="s">
        <v>119</v>
      </c>
      <c r="D157" s="9" t="str">
        <f t="shared" si="2"/>
        <v>Presente</v>
      </c>
    </row>
    <row r="158" spans="1:4" ht="15.75" customHeight="1">
      <c r="A158" s="2" t="s">
        <v>14</v>
      </c>
      <c r="B158" s="7">
        <v>45477</v>
      </c>
      <c r="C158" s="8" t="s">
        <v>119</v>
      </c>
      <c r="D158" s="9" t="str">
        <f t="shared" si="2"/>
        <v>Presente</v>
      </c>
    </row>
    <row r="159" spans="1:4" ht="15.75" customHeight="1">
      <c r="A159" s="2" t="s">
        <v>16</v>
      </c>
      <c r="B159" s="7">
        <v>45477</v>
      </c>
      <c r="C159" s="8" t="s">
        <v>119</v>
      </c>
      <c r="D159" s="9" t="str">
        <f t="shared" si="2"/>
        <v>Presente</v>
      </c>
    </row>
    <row r="160" spans="1:4" ht="15.75" customHeight="1">
      <c r="A160" s="2" t="s">
        <v>18</v>
      </c>
      <c r="B160" s="7">
        <v>45477</v>
      </c>
      <c r="C160" s="8" t="s">
        <v>119</v>
      </c>
      <c r="D160" s="9" t="str">
        <f t="shared" si="2"/>
        <v>Presente</v>
      </c>
    </row>
    <row r="161" spans="1:4" ht="15.75" customHeight="1">
      <c r="A161" s="2" t="s">
        <v>20</v>
      </c>
      <c r="B161" s="7">
        <v>45477</v>
      </c>
      <c r="C161" s="8" t="s">
        <v>120</v>
      </c>
      <c r="D161" s="9" t="str">
        <f t="shared" si="2"/>
        <v>Ausente</v>
      </c>
    </row>
    <row r="162" spans="1:4" ht="15.75" customHeight="1">
      <c r="A162" s="2" t="s">
        <v>22</v>
      </c>
      <c r="B162" s="7">
        <v>45477</v>
      </c>
      <c r="C162" s="8" t="s">
        <v>119</v>
      </c>
      <c r="D162" s="9" t="str">
        <f t="shared" si="2"/>
        <v>Presente</v>
      </c>
    </row>
    <row r="163" spans="1:4" ht="15.75" customHeight="1">
      <c r="A163" s="2" t="s">
        <v>24</v>
      </c>
      <c r="B163" s="7">
        <v>45477</v>
      </c>
      <c r="C163" s="8" t="s">
        <v>120</v>
      </c>
      <c r="D163" s="9" t="str">
        <f t="shared" si="2"/>
        <v>Ausente</v>
      </c>
    </row>
    <row r="164" spans="1:4" ht="15.75" customHeight="1">
      <c r="A164" s="2" t="s">
        <v>26</v>
      </c>
      <c r="B164" s="7">
        <v>45477</v>
      </c>
      <c r="C164" s="8" t="s">
        <v>120</v>
      </c>
      <c r="D164" s="9" t="str">
        <f t="shared" si="2"/>
        <v>Ausente</v>
      </c>
    </row>
    <row r="165" spans="1:4" ht="15.75" customHeight="1">
      <c r="A165" s="2" t="s">
        <v>28</v>
      </c>
      <c r="B165" s="7">
        <v>45477</v>
      </c>
      <c r="C165" s="8" t="s">
        <v>119</v>
      </c>
      <c r="D165" s="9" t="str">
        <f t="shared" si="2"/>
        <v>Presente</v>
      </c>
    </row>
    <row r="166" spans="1:4" ht="15.75" customHeight="1">
      <c r="A166" s="2" t="s">
        <v>30</v>
      </c>
      <c r="B166" s="7">
        <v>45477</v>
      </c>
      <c r="C166" s="8" t="s">
        <v>119</v>
      </c>
      <c r="D166" s="9" t="str">
        <f t="shared" si="2"/>
        <v>Presente</v>
      </c>
    </row>
    <row r="167" spans="1:4" ht="15.75" customHeight="1">
      <c r="A167" s="2" t="s">
        <v>32</v>
      </c>
      <c r="B167" s="7">
        <v>45477</v>
      </c>
      <c r="C167" s="8" t="s">
        <v>119</v>
      </c>
      <c r="D167" s="9" t="str">
        <f t="shared" si="2"/>
        <v>Presente</v>
      </c>
    </row>
    <row r="168" spans="1:4" ht="15.75" customHeight="1">
      <c r="A168" s="2" t="s">
        <v>34</v>
      </c>
      <c r="B168" s="7">
        <v>45477</v>
      </c>
      <c r="C168" s="8" t="s">
        <v>120</v>
      </c>
      <c r="D168" s="9" t="str">
        <f t="shared" si="2"/>
        <v>Ausente</v>
      </c>
    </row>
    <row r="169" spans="1:4" ht="15.75" customHeight="1">
      <c r="A169" s="2" t="s">
        <v>36</v>
      </c>
      <c r="B169" s="7">
        <v>45477</v>
      </c>
      <c r="C169" s="8" t="s">
        <v>120</v>
      </c>
      <c r="D169" s="9" t="str">
        <f t="shared" si="2"/>
        <v>Ausente</v>
      </c>
    </row>
    <row r="170" spans="1:4" ht="15.75" customHeight="1">
      <c r="A170" s="2" t="s">
        <v>38</v>
      </c>
      <c r="B170" s="7">
        <v>45477</v>
      </c>
      <c r="C170" s="8" t="s">
        <v>120</v>
      </c>
      <c r="D170" s="9" t="str">
        <f t="shared" si="2"/>
        <v>Ausente</v>
      </c>
    </row>
    <row r="171" spans="1:4" ht="15.75" customHeight="1">
      <c r="A171" s="2" t="s">
        <v>40</v>
      </c>
      <c r="B171" s="7">
        <v>45477</v>
      </c>
      <c r="C171" s="8" t="s">
        <v>119</v>
      </c>
      <c r="D171" s="9" t="str">
        <f t="shared" si="2"/>
        <v>Presente</v>
      </c>
    </row>
    <row r="172" spans="1:4" ht="15.75" customHeight="1">
      <c r="A172" s="2" t="s">
        <v>42</v>
      </c>
      <c r="B172" s="7">
        <v>45477</v>
      </c>
      <c r="C172" s="8" t="s">
        <v>120</v>
      </c>
      <c r="D172" s="9" t="str">
        <f t="shared" si="2"/>
        <v>Ausente</v>
      </c>
    </row>
    <row r="173" spans="1:4" ht="15.75" customHeight="1">
      <c r="A173" s="2" t="s">
        <v>44</v>
      </c>
      <c r="B173" s="7">
        <v>45477</v>
      </c>
      <c r="C173" s="8" t="s">
        <v>120</v>
      </c>
      <c r="D173" s="9" t="str">
        <f t="shared" si="2"/>
        <v>Ausente</v>
      </c>
    </row>
    <row r="174" spans="1:4" ht="15.75" customHeight="1">
      <c r="A174" s="2" t="s">
        <v>46</v>
      </c>
      <c r="B174" s="7">
        <v>45477</v>
      </c>
      <c r="C174" s="8" t="s">
        <v>119</v>
      </c>
      <c r="D174" s="9" t="str">
        <f t="shared" si="2"/>
        <v>Presente</v>
      </c>
    </row>
    <row r="175" spans="1:4" ht="15.75" customHeight="1">
      <c r="A175" s="2" t="s">
        <v>48</v>
      </c>
      <c r="B175" s="7">
        <v>45477</v>
      </c>
      <c r="C175" s="8" t="s">
        <v>120</v>
      </c>
      <c r="D175" s="9" t="str">
        <f t="shared" si="2"/>
        <v>Ausente</v>
      </c>
    </row>
    <row r="176" spans="1:4" ht="15.75" customHeight="1">
      <c r="A176" s="2" t="s">
        <v>50</v>
      </c>
      <c r="B176" s="7">
        <v>45477</v>
      </c>
      <c r="C176" s="8" t="s">
        <v>119</v>
      </c>
      <c r="D176" s="9" t="str">
        <f t="shared" si="2"/>
        <v>Presente</v>
      </c>
    </row>
    <row r="177" spans="1:4" ht="15.75" customHeight="1">
      <c r="A177" s="2" t="s">
        <v>52</v>
      </c>
      <c r="B177" s="7">
        <v>45477</v>
      </c>
      <c r="C177" s="8" t="s">
        <v>120</v>
      </c>
      <c r="D177" s="9" t="str">
        <f t="shared" si="2"/>
        <v>Ausente</v>
      </c>
    </row>
    <row r="178" spans="1:4" ht="15.75" customHeight="1">
      <c r="A178" s="2" t="s">
        <v>54</v>
      </c>
      <c r="B178" s="7">
        <v>45477</v>
      </c>
      <c r="C178" s="8" t="s">
        <v>119</v>
      </c>
      <c r="D178" s="9" t="str">
        <f t="shared" si="2"/>
        <v>Presente</v>
      </c>
    </row>
    <row r="179" spans="1:4" ht="15.75" customHeight="1">
      <c r="A179" s="2" t="s">
        <v>56</v>
      </c>
      <c r="B179" s="7">
        <v>45477</v>
      </c>
      <c r="C179" s="8" t="s">
        <v>120</v>
      </c>
      <c r="D179" s="9" t="str">
        <f t="shared" si="2"/>
        <v>Ausente</v>
      </c>
    </row>
    <row r="180" spans="1:4" ht="15.75" customHeight="1">
      <c r="A180" s="2" t="s">
        <v>58</v>
      </c>
      <c r="B180" s="7">
        <v>45477</v>
      </c>
      <c r="C180" s="8" t="s">
        <v>119</v>
      </c>
      <c r="D180" s="9" t="str">
        <f t="shared" si="2"/>
        <v>Presente</v>
      </c>
    </row>
    <row r="181" spans="1:4" ht="15.75" customHeight="1">
      <c r="A181" s="2" t="s">
        <v>60</v>
      </c>
      <c r="B181" s="7">
        <v>45477</v>
      </c>
      <c r="C181" s="8" t="s">
        <v>119</v>
      </c>
      <c r="D181" s="9" t="str">
        <f t="shared" si="2"/>
        <v>Presente</v>
      </c>
    </row>
    <row r="182" spans="1:4" ht="15.75" customHeight="1">
      <c r="A182" s="2" t="s">
        <v>62</v>
      </c>
      <c r="B182" s="7">
        <v>45477</v>
      </c>
      <c r="C182" s="8" t="s">
        <v>119</v>
      </c>
      <c r="D182" s="9" t="str">
        <f t="shared" si="2"/>
        <v>Presente</v>
      </c>
    </row>
    <row r="183" spans="1:4" ht="15.75" customHeight="1">
      <c r="A183" s="2" t="s">
        <v>64</v>
      </c>
      <c r="B183" s="7">
        <v>45477</v>
      </c>
      <c r="C183" s="8" t="s">
        <v>119</v>
      </c>
      <c r="D183" s="9" t="str">
        <f t="shared" si="2"/>
        <v>Presente</v>
      </c>
    </row>
    <row r="184" spans="1:4" ht="15.75" customHeight="1">
      <c r="A184" s="2" t="s">
        <v>66</v>
      </c>
      <c r="B184" s="7">
        <v>45477</v>
      </c>
      <c r="C184" s="8" t="s">
        <v>119</v>
      </c>
      <c r="D184" s="9" t="str">
        <f t="shared" si="2"/>
        <v>Presente</v>
      </c>
    </row>
    <row r="185" spans="1:4" ht="15.75" customHeight="1">
      <c r="A185" s="2" t="s">
        <v>68</v>
      </c>
      <c r="B185" s="7">
        <v>45477</v>
      </c>
      <c r="C185" s="8" t="s">
        <v>119</v>
      </c>
      <c r="D185" s="9" t="str">
        <f t="shared" si="2"/>
        <v>Presente</v>
      </c>
    </row>
    <row r="186" spans="1:4" ht="15.75" customHeight="1">
      <c r="A186" s="2" t="s">
        <v>70</v>
      </c>
      <c r="B186" s="7">
        <v>45477</v>
      </c>
      <c r="C186" s="8" t="s">
        <v>120</v>
      </c>
      <c r="D186" s="9" t="str">
        <f t="shared" si="2"/>
        <v>Ausente</v>
      </c>
    </row>
    <row r="187" spans="1:4" ht="15.75" customHeight="1">
      <c r="A187" s="2" t="s">
        <v>72</v>
      </c>
      <c r="B187" s="7">
        <v>45477</v>
      </c>
      <c r="C187" s="8" t="s">
        <v>119</v>
      </c>
      <c r="D187" s="9" t="str">
        <f t="shared" si="2"/>
        <v>Presente</v>
      </c>
    </row>
    <row r="188" spans="1:4" ht="15.75" customHeight="1">
      <c r="A188" s="2" t="s">
        <v>74</v>
      </c>
      <c r="B188" s="7">
        <v>45477</v>
      </c>
      <c r="C188" s="8" t="s">
        <v>120</v>
      </c>
      <c r="D188" s="9" t="str">
        <f t="shared" si="2"/>
        <v>Ausente</v>
      </c>
    </row>
    <row r="189" spans="1:4" ht="15.75" customHeight="1">
      <c r="A189" s="2" t="s">
        <v>76</v>
      </c>
      <c r="B189" s="7">
        <v>45477</v>
      </c>
      <c r="C189" s="8" t="s">
        <v>119</v>
      </c>
      <c r="D189" s="9" t="str">
        <f t="shared" si="2"/>
        <v>Presente</v>
      </c>
    </row>
    <row r="190" spans="1:4" ht="15.75" customHeight="1">
      <c r="A190" s="2" t="s">
        <v>78</v>
      </c>
      <c r="B190" s="7">
        <v>45477</v>
      </c>
      <c r="C190" s="8" t="s">
        <v>120</v>
      </c>
      <c r="D190" s="9" t="str">
        <f t="shared" si="2"/>
        <v>Ausente</v>
      </c>
    </row>
    <row r="191" spans="1:4" ht="15.75" customHeight="1">
      <c r="A191" s="2" t="s">
        <v>80</v>
      </c>
      <c r="B191" s="7">
        <v>45477</v>
      </c>
      <c r="C191" s="8" t="s">
        <v>119</v>
      </c>
      <c r="D191" s="9" t="str">
        <f t="shared" si="2"/>
        <v>Presente</v>
      </c>
    </row>
    <row r="192" spans="1:4" ht="15.75" customHeight="1">
      <c r="A192" s="2" t="s">
        <v>82</v>
      </c>
      <c r="B192" s="7">
        <v>45477</v>
      </c>
      <c r="C192" s="8" t="s">
        <v>119</v>
      </c>
      <c r="D192" s="9" t="str">
        <f t="shared" si="2"/>
        <v>Presente</v>
      </c>
    </row>
    <row r="193" spans="1:4" ht="15.75" customHeight="1">
      <c r="A193" s="2" t="s">
        <v>84</v>
      </c>
      <c r="B193" s="7">
        <v>45477</v>
      </c>
      <c r="C193" s="8" t="s">
        <v>119</v>
      </c>
      <c r="D193" s="9" t="str">
        <f t="shared" si="2"/>
        <v>Presente</v>
      </c>
    </row>
    <row r="194" spans="1:4" ht="15.75" customHeight="1">
      <c r="A194" s="2" t="s">
        <v>86</v>
      </c>
      <c r="B194" s="7">
        <v>45477</v>
      </c>
      <c r="C194" s="8" t="s">
        <v>120</v>
      </c>
      <c r="D194" s="9" t="str">
        <f t="shared" si="2"/>
        <v>Ausente</v>
      </c>
    </row>
    <row r="195" spans="1:4" ht="15.75" customHeight="1">
      <c r="A195" s="2" t="s">
        <v>88</v>
      </c>
      <c r="B195" s="7">
        <v>45477</v>
      </c>
      <c r="C195" s="8" t="s">
        <v>119</v>
      </c>
      <c r="D195" s="9" t="str">
        <f t="shared" ref="D195:D251" si="3">IF(C195="Yes","Presente","Ausente")</f>
        <v>Presente</v>
      </c>
    </row>
    <row r="196" spans="1:4" ht="15.75" customHeight="1">
      <c r="A196" s="2" t="s">
        <v>90</v>
      </c>
      <c r="B196" s="7">
        <v>45477</v>
      </c>
      <c r="C196" s="8" t="s">
        <v>119</v>
      </c>
      <c r="D196" s="9" t="str">
        <f t="shared" si="3"/>
        <v>Presente</v>
      </c>
    </row>
    <row r="197" spans="1:4" ht="15.75" customHeight="1">
      <c r="A197" s="2" t="s">
        <v>92</v>
      </c>
      <c r="B197" s="7">
        <v>45477</v>
      </c>
      <c r="C197" s="8" t="s">
        <v>120</v>
      </c>
      <c r="D197" s="9" t="str">
        <f t="shared" si="3"/>
        <v>Ausente</v>
      </c>
    </row>
    <row r="198" spans="1:4" ht="15.75" customHeight="1">
      <c r="A198" s="2" t="s">
        <v>94</v>
      </c>
      <c r="B198" s="7">
        <v>45477</v>
      </c>
      <c r="C198" s="8" t="s">
        <v>120</v>
      </c>
      <c r="D198" s="9" t="str">
        <f t="shared" si="3"/>
        <v>Ausente</v>
      </c>
    </row>
    <row r="199" spans="1:4" ht="15.75" customHeight="1">
      <c r="A199" s="2" t="s">
        <v>96</v>
      </c>
      <c r="B199" s="7">
        <v>45477</v>
      </c>
      <c r="C199" s="8" t="s">
        <v>120</v>
      </c>
      <c r="D199" s="9" t="str">
        <f t="shared" si="3"/>
        <v>Ausente</v>
      </c>
    </row>
    <row r="200" spans="1:4" ht="15.75" customHeight="1">
      <c r="A200" s="2" t="s">
        <v>98</v>
      </c>
      <c r="B200" s="7">
        <v>45477</v>
      </c>
      <c r="C200" s="8" t="s">
        <v>120</v>
      </c>
      <c r="D200" s="9" t="str">
        <f t="shared" si="3"/>
        <v>Ausente</v>
      </c>
    </row>
    <row r="201" spans="1:4" ht="15.75" customHeight="1">
      <c r="A201" s="2" t="s">
        <v>100</v>
      </c>
      <c r="B201" s="7">
        <v>45477</v>
      </c>
      <c r="C201" s="8" t="s">
        <v>119</v>
      </c>
      <c r="D201" s="9" t="str">
        <f t="shared" si="3"/>
        <v>Presente</v>
      </c>
    </row>
    <row r="202" spans="1:4" ht="15.75" customHeight="1">
      <c r="A202" s="2" t="s">
        <v>2</v>
      </c>
      <c r="B202" s="7">
        <v>45478</v>
      </c>
      <c r="C202" s="8" t="s">
        <v>120</v>
      </c>
      <c r="D202" s="9" t="str">
        <f t="shared" si="3"/>
        <v>Ausente</v>
      </c>
    </row>
    <row r="203" spans="1:4" ht="15.75" customHeight="1">
      <c r="A203" s="2" t="s">
        <v>4</v>
      </c>
      <c r="B203" s="7">
        <v>45478</v>
      </c>
      <c r="C203" s="8" t="s">
        <v>120</v>
      </c>
      <c r="D203" s="9" t="str">
        <f t="shared" si="3"/>
        <v>Ausente</v>
      </c>
    </row>
    <row r="204" spans="1:4" ht="15.75" customHeight="1">
      <c r="A204" s="2" t="s">
        <v>6</v>
      </c>
      <c r="B204" s="7">
        <v>45478</v>
      </c>
      <c r="C204" s="8" t="s">
        <v>120</v>
      </c>
      <c r="D204" s="9" t="str">
        <f t="shared" si="3"/>
        <v>Ausente</v>
      </c>
    </row>
    <row r="205" spans="1:4" ht="15.75" customHeight="1">
      <c r="A205" s="2" t="s">
        <v>8</v>
      </c>
      <c r="B205" s="7">
        <v>45478</v>
      </c>
      <c r="C205" s="8" t="s">
        <v>120</v>
      </c>
      <c r="D205" s="9" t="str">
        <f t="shared" si="3"/>
        <v>Ausente</v>
      </c>
    </row>
    <row r="206" spans="1:4" ht="15.75" customHeight="1">
      <c r="A206" s="2" t="s">
        <v>10</v>
      </c>
      <c r="B206" s="7">
        <v>45478</v>
      </c>
      <c r="C206" s="8" t="s">
        <v>120</v>
      </c>
      <c r="D206" s="9" t="str">
        <f t="shared" si="3"/>
        <v>Ausente</v>
      </c>
    </row>
    <row r="207" spans="1:4" ht="15.75" customHeight="1">
      <c r="A207" s="2" t="s">
        <v>12</v>
      </c>
      <c r="B207" s="7">
        <v>45478</v>
      </c>
      <c r="C207" s="8" t="s">
        <v>119</v>
      </c>
      <c r="D207" s="9" t="str">
        <f t="shared" si="3"/>
        <v>Presente</v>
      </c>
    </row>
    <row r="208" spans="1:4" ht="15.75" customHeight="1">
      <c r="A208" s="2" t="s">
        <v>14</v>
      </c>
      <c r="B208" s="7">
        <v>45478</v>
      </c>
      <c r="C208" s="8" t="s">
        <v>119</v>
      </c>
      <c r="D208" s="9" t="str">
        <f t="shared" si="3"/>
        <v>Presente</v>
      </c>
    </row>
    <row r="209" spans="1:4" ht="15.75" customHeight="1">
      <c r="A209" s="2" t="s">
        <v>16</v>
      </c>
      <c r="B209" s="7">
        <v>45478</v>
      </c>
      <c r="C209" s="8" t="s">
        <v>120</v>
      </c>
      <c r="D209" s="9" t="str">
        <f t="shared" si="3"/>
        <v>Ausente</v>
      </c>
    </row>
    <row r="210" spans="1:4" ht="15.75" customHeight="1">
      <c r="A210" s="2" t="s">
        <v>18</v>
      </c>
      <c r="B210" s="7">
        <v>45478</v>
      </c>
      <c r="C210" s="8" t="s">
        <v>120</v>
      </c>
      <c r="D210" s="9" t="str">
        <f t="shared" si="3"/>
        <v>Ausente</v>
      </c>
    </row>
    <row r="211" spans="1:4" ht="15.75" customHeight="1">
      <c r="A211" s="2" t="s">
        <v>20</v>
      </c>
      <c r="B211" s="7">
        <v>45478</v>
      </c>
      <c r="C211" s="8" t="s">
        <v>120</v>
      </c>
      <c r="D211" s="9" t="str">
        <f t="shared" si="3"/>
        <v>Ausente</v>
      </c>
    </row>
    <row r="212" spans="1:4" ht="15.75" customHeight="1">
      <c r="A212" s="2" t="s">
        <v>22</v>
      </c>
      <c r="B212" s="7">
        <v>45478</v>
      </c>
      <c r="C212" s="8" t="s">
        <v>120</v>
      </c>
      <c r="D212" s="9" t="str">
        <f t="shared" si="3"/>
        <v>Ausente</v>
      </c>
    </row>
    <row r="213" spans="1:4" ht="15.75" customHeight="1">
      <c r="A213" s="2" t="s">
        <v>24</v>
      </c>
      <c r="B213" s="7">
        <v>45478</v>
      </c>
      <c r="C213" s="8" t="s">
        <v>120</v>
      </c>
      <c r="D213" s="9" t="str">
        <f t="shared" si="3"/>
        <v>Ausente</v>
      </c>
    </row>
    <row r="214" spans="1:4" ht="15.75" customHeight="1">
      <c r="A214" s="2" t="s">
        <v>26</v>
      </c>
      <c r="B214" s="7">
        <v>45478</v>
      </c>
      <c r="C214" s="8" t="s">
        <v>119</v>
      </c>
      <c r="D214" s="9" t="str">
        <f t="shared" si="3"/>
        <v>Presente</v>
      </c>
    </row>
    <row r="215" spans="1:4" ht="15.75" customHeight="1">
      <c r="A215" s="2" t="s">
        <v>28</v>
      </c>
      <c r="B215" s="7">
        <v>45478</v>
      </c>
      <c r="C215" s="8" t="s">
        <v>119</v>
      </c>
      <c r="D215" s="9" t="str">
        <f t="shared" si="3"/>
        <v>Presente</v>
      </c>
    </row>
    <row r="216" spans="1:4" ht="15.75" customHeight="1">
      <c r="A216" s="2" t="s">
        <v>30</v>
      </c>
      <c r="B216" s="7">
        <v>45478</v>
      </c>
      <c r="C216" s="8" t="s">
        <v>120</v>
      </c>
      <c r="D216" s="9" t="str">
        <f t="shared" si="3"/>
        <v>Ausente</v>
      </c>
    </row>
    <row r="217" spans="1:4" ht="15.75" customHeight="1">
      <c r="A217" s="2" t="s">
        <v>32</v>
      </c>
      <c r="B217" s="7">
        <v>45478</v>
      </c>
      <c r="C217" s="8" t="s">
        <v>119</v>
      </c>
      <c r="D217" s="9" t="str">
        <f t="shared" si="3"/>
        <v>Presente</v>
      </c>
    </row>
    <row r="218" spans="1:4" ht="15.75" customHeight="1">
      <c r="A218" s="2" t="s">
        <v>34</v>
      </c>
      <c r="B218" s="7">
        <v>45478</v>
      </c>
      <c r="C218" s="8" t="s">
        <v>119</v>
      </c>
      <c r="D218" s="9" t="str">
        <f t="shared" si="3"/>
        <v>Presente</v>
      </c>
    </row>
    <row r="219" spans="1:4" ht="15.75" customHeight="1">
      <c r="A219" s="2" t="s">
        <v>36</v>
      </c>
      <c r="B219" s="7">
        <v>45478</v>
      </c>
      <c r="C219" s="8" t="s">
        <v>119</v>
      </c>
      <c r="D219" s="9" t="str">
        <f t="shared" si="3"/>
        <v>Presente</v>
      </c>
    </row>
    <row r="220" spans="1:4" ht="15.75" customHeight="1">
      <c r="A220" s="2" t="s">
        <v>38</v>
      </c>
      <c r="B220" s="7">
        <v>45478</v>
      </c>
      <c r="C220" s="8" t="s">
        <v>120</v>
      </c>
      <c r="D220" s="9" t="str">
        <f t="shared" si="3"/>
        <v>Ausente</v>
      </c>
    </row>
    <row r="221" spans="1:4" ht="15.75" customHeight="1">
      <c r="A221" s="2" t="s">
        <v>40</v>
      </c>
      <c r="B221" s="7">
        <v>45478</v>
      </c>
      <c r="C221" s="8" t="s">
        <v>119</v>
      </c>
      <c r="D221" s="9" t="str">
        <f t="shared" si="3"/>
        <v>Presente</v>
      </c>
    </row>
    <row r="222" spans="1:4" ht="15.75" customHeight="1">
      <c r="A222" s="2" t="s">
        <v>42</v>
      </c>
      <c r="B222" s="7">
        <v>45478</v>
      </c>
      <c r="C222" s="8" t="s">
        <v>119</v>
      </c>
      <c r="D222" s="9" t="str">
        <f t="shared" si="3"/>
        <v>Presente</v>
      </c>
    </row>
    <row r="223" spans="1:4" ht="15.75" customHeight="1">
      <c r="A223" s="2" t="s">
        <v>44</v>
      </c>
      <c r="B223" s="7">
        <v>45478</v>
      </c>
      <c r="C223" s="8" t="s">
        <v>120</v>
      </c>
      <c r="D223" s="9" t="str">
        <f t="shared" si="3"/>
        <v>Ausente</v>
      </c>
    </row>
    <row r="224" spans="1:4" ht="15.75" customHeight="1">
      <c r="A224" s="2" t="s">
        <v>46</v>
      </c>
      <c r="B224" s="7">
        <v>45478</v>
      </c>
      <c r="C224" s="8" t="s">
        <v>120</v>
      </c>
      <c r="D224" s="9" t="str">
        <f t="shared" si="3"/>
        <v>Ausente</v>
      </c>
    </row>
    <row r="225" spans="1:4" ht="15.75" customHeight="1">
      <c r="A225" s="2" t="s">
        <v>48</v>
      </c>
      <c r="B225" s="7">
        <v>45478</v>
      </c>
      <c r="C225" s="8" t="s">
        <v>120</v>
      </c>
      <c r="D225" s="9" t="str">
        <f t="shared" si="3"/>
        <v>Ausente</v>
      </c>
    </row>
    <row r="226" spans="1:4" ht="15.75" customHeight="1">
      <c r="A226" s="2" t="s">
        <v>50</v>
      </c>
      <c r="B226" s="7">
        <v>45478</v>
      </c>
      <c r="C226" s="8" t="s">
        <v>120</v>
      </c>
      <c r="D226" s="9" t="str">
        <f t="shared" si="3"/>
        <v>Ausente</v>
      </c>
    </row>
    <row r="227" spans="1:4" ht="15.75" customHeight="1">
      <c r="A227" s="2" t="s">
        <v>52</v>
      </c>
      <c r="B227" s="7">
        <v>45478</v>
      </c>
      <c r="C227" s="8" t="s">
        <v>119</v>
      </c>
      <c r="D227" s="9" t="str">
        <f t="shared" si="3"/>
        <v>Presente</v>
      </c>
    </row>
    <row r="228" spans="1:4" ht="15.75" customHeight="1">
      <c r="A228" s="2" t="s">
        <v>54</v>
      </c>
      <c r="B228" s="7">
        <v>45478</v>
      </c>
      <c r="C228" s="8" t="s">
        <v>119</v>
      </c>
      <c r="D228" s="9" t="str">
        <f t="shared" si="3"/>
        <v>Presente</v>
      </c>
    </row>
    <row r="229" spans="1:4" ht="15.75" customHeight="1">
      <c r="A229" s="2" t="s">
        <v>56</v>
      </c>
      <c r="B229" s="7">
        <v>45478</v>
      </c>
      <c r="C229" s="8" t="s">
        <v>120</v>
      </c>
      <c r="D229" s="9" t="str">
        <f t="shared" si="3"/>
        <v>Ausente</v>
      </c>
    </row>
    <row r="230" spans="1:4" ht="15.75" customHeight="1">
      <c r="A230" s="2" t="s">
        <v>58</v>
      </c>
      <c r="B230" s="7">
        <v>45478</v>
      </c>
      <c r="C230" s="8" t="s">
        <v>119</v>
      </c>
      <c r="D230" s="9" t="str">
        <f t="shared" si="3"/>
        <v>Presente</v>
      </c>
    </row>
    <row r="231" spans="1:4" ht="15.75" customHeight="1">
      <c r="A231" s="2" t="s">
        <v>60</v>
      </c>
      <c r="B231" s="7">
        <v>45478</v>
      </c>
      <c r="C231" s="8" t="s">
        <v>119</v>
      </c>
      <c r="D231" s="9" t="str">
        <f t="shared" si="3"/>
        <v>Presente</v>
      </c>
    </row>
    <row r="232" spans="1:4" ht="15.75" customHeight="1">
      <c r="A232" s="2" t="s">
        <v>62</v>
      </c>
      <c r="B232" s="7">
        <v>45478</v>
      </c>
      <c r="C232" s="8" t="s">
        <v>120</v>
      </c>
      <c r="D232" s="9" t="str">
        <f t="shared" si="3"/>
        <v>Ausente</v>
      </c>
    </row>
    <row r="233" spans="1:4" ht="15.75" customHeight="1">
      <c r="A233" s="2" t="s">
        <v>64</v>
      </c>
      <c r="B233" s="7">
        <v>45478</v>
      </c>
      <c r="C233" s="8" t="s">
        <v>119</v>
      </c>
      <c r="D233" s="9" t="str">
        <f t="shared" si="3"/>
        <v>Presente</v>
      </c>
    </row>
    <row r="234" spans="1:4" ht="15.75" customHeight="1">
      <c r="A234" s="2" t="s">
        <v>66</v>
      </c>
      <c r="B234" s="7">
        <v>45478</v>
      </c>
      <c r="C234" s="8" t="s">
        <v>119</v>
      </c>
      <c r="D234" s="9" t="str">
        <f t="shared" si="3"/>
        <v>Presente</v>
      </c>
    </row>
    <row r="235" spans="1:4" ht="15.75" customHeight="1">
      <c r="A235" s="2" t="s">
        <v>68</v>
      </c>
      <c r="B235" s="7">
        <v>45478</v>
      </c>
      <c r="C235" s="8" t="s">
        <v>120</v>
      </c>
      <c r="D235" s="9" t="str">
        <f t="shared" si="3"/>
        <v>Ausente</v>
      </c>
    </row>
    <row r="236" spans="1:4" ht="15.75" customHeight="1">
      <c r="A236" s="2" t="s">
        <v>70</v>
      </c>
      <c r="B236" s="7">
        <v>45478</v>
      </c>
      <c r="C236" s="8" t="s">
        <v>119</v>
      </c>
      <c r="D236" s="9" t="str">
        <f t="shared" si="3"/>
        <v>Presente</v>
      </c>
    </row>
    <row r="237" spans="1:4" ht="15.75" customHeight="1">
      <c r="A237" s="2" t="s">
        <v>72</v>
      </c>
      <c r="B237" s="7">
        <v>45478</v>
      </c>
      <c r="C237" s="8" t="s">
        <v>120</v>
      </c>
      <c r="D237" s="9" t="str">
        <f t="shared" si="3"/>
        <v>Ausente</v>
      </c>
    </row>
    <row r="238" spans="1:4" ht="15.75" customHeight="1">
      <c r="A238" s="2" t="s">
        <v>74</v>
      </c>
      <c r="B238" s="7">
        <v>45478</v>
      </c>
      <c r="C238" s="8" t="s">
        <v>119</v>
      </c>
      <c r="D238" s="9" t="str">
        <f t="shared" si="3"/>
        <v>Presente</v>
      </c>
    </row>
    <row r="239" spans="1:4" ht="15.75" customHeight="1">
      <c r="A239" s="2" t="s">
        <v>76</v>
      </c>
      <c r="B239" s="7">
        <v>45478</v>
      </c>
      <c r="C239" s="8" t="s">
        <v>119</v>
      </c>
      <c r="D239" s="9" t="str">
        <f t="shared" si="3"/>
        <v>Presente</v>
      </c>
    </row>
    <row r="240" spans="1:4" ht="15.75" customHeight="1">
      <c r="A240" s="2" t="s">
        <v>78</v>
      </c>
      <c r="B240" s="7">
        <v>45478</v>
      </c>
      <c r="C240" s="8" t="s">
        <v>119</v>
      </c>
      <c r="D240" s="9" t="str">
        <f t="shared" si="3"/>
        <v>Presente</v>
      </c>
    </row>
    <row r="241" spans="1:4" ht="15.75" customHeight="1">
      <c r="A241" s="2" t="s">
        <v>80</v>
      </c>
      <c r="B241" s="7">
        <v>45478</v>
      </c>
      <c r="C241" s="8" t="s">
        <v>120</v>
      </c>
      <c r="D241" s="9" t="str">
        <f t="shared" si="3"/>
        <v>Ausente</v>
      </c>
    </row>
    <row r="242" spans="1:4" ht="15.75" customHeight="1">
      <c r="A242" s="2" t="s">
        <v>82</v>
      </c>
      <c r="B242" s="7">
        <v>45478</v>
      </c>
      <c r="C242" s="8" t="s">
        <v>119</v>
      </c>
      <c r="D242" s="9" t="str">
        <f t="shared" si="3"/>
        <v>Presente</v>
      </c>
    </row>
    <row r="243" spans="1:4" ht="15.75" customHeight="1">
      <c r="A243" s="2" t="s">
        <v>84</v>
      </c>
      <c r="B243" s="7">
        <v>45478</v>
      </c>
      <c r="C243" s="8" t="s">
        <v>120</v>
      </c>
      <c r="D243" s="9" t="str">
        <f t="shared" si="3"/>
        <v>Ausente</v>
      </c>
    </row>
    <row r="244" spans="1:4" ht="15.75" customHeight="1">
      <c r="A244" s="2" t="s">
        <v>86</v>
      </c>
      <c r="B244" s="7">
        <v>45478</v>
      </c>
      <c r="C244" s="8" t="s">
        <v>120</v>
      </c>
      <c r="D244" s="9" t="str">
        <f t="shared" si="3"/>
        <v>Ausente</v>
      </c>
    </row>
    <row r="245" spans="1:4" ht="15.75" customHeight="1">
      <c r="A245" s="2" t="s">
        <v>88</v>
      </c>
      <c r="B245" s="7">
        <v>45478</v>
      </c>
      <c r="C245" s="8" t="s">
        <v>120</v>
      </c>
      <c r="D245" s="9" t="str">
        <f t="shared" si="3"/>
        <v>Ausente</v>
      </c>
    </row>
    <row r="246" spans="1:4" ht="15.75" customHeight="1">
      <c r="A246" s="2" t="s">
        <v>90</v>
      </c>
      <c r="B246" s="7">
        <v>45478</v>
      </c>
      <c r="C246" s="8" t="s">
        <v>119</v>
      </c>
      <c r="D246" s="9" t="str">
        <f t="shared" si="3"/>
        <v>Presente</v>
      </c>
    </row>
    <row r="247" spans="1:4" ht="15.75" customHeight="1">
      <c r="A247" s="2" t="s">
        <v>92</v>
      </c>
      <c r="B247" s="7">
        <v>45478</v>
      </c>
      <c r="C247" s="8" t="s">
        <v>120</v>
      </c>
      <c r="D247" s="9" t="str">
        <f t="shared" si="3"/>
        <v>Ausente</v>
      </c>
    </row>
    <row r="248" spans="1:4" ht="15.75" customHeight="1">
      <c r="A248" s="2" t="s">
        <v>94</v>
      </c>
      <c r="B248" s="7">
        <v>45478</v>
      </c>
      <c r="C248" s="8" t="s">
        <v>119</v>
      </c>
      <c r="D248" s="9" t="str">
        <f t="shared" si="3"/>
        <v>Presente</v>
      </c>
    </row>
    <row r="249" spans="1:4" ht="15.75" customHeight="1">
      <c r="A249" s="2" t="s">
        <v>96</v>
      </c>
      <c r="B249" s="7">
        <v>45478</v>
      </c>
      <c r="C249" s="8" t="s">
        <v>120</v>
      </c>
      <c r="D249" s="9" t="str">
        <f t="shared" si="3"/>
        <v>Ausente</v>
      </c>
    </row>
    <row r="250" spans="1:4" ht="15.75" customHeight="1">
      <c r="A250" s="2" t="s">
        <v>98</v>
      </c>
      <c r="B250" s="7">
        <v>45478</v>
      </c>
      <c r="C250" s="8" t="s">
        <v>119</v>
      </c>
      <c r="D250" s="9" t="str">
        <f t="shared" si="3"/>
        <v>Presente</v>
      </c>
    </row>
    <row r="251" spans="1:4" ht="15.75" customHeight="1">
      <c r="A251" s="2" t="s">
        <v>100</v>
      </c>
      <c r="B251" s="7">
        <v>45478</v>
      </c>
      <c r="C251" s="8" t="s">
        <v>120</v>
      </c>
      <c r="D251" s="9" t="str">
        <f t="shared" si="3"/>
        <v>Ausente</v>
      </c>
    </row>
    <row r="252" spans="1:4" ht="15.75" customHeight="1"/>
    <row r="253" spans="1:4" ht="15.75" customHeight="1"/>
    <row r="254" spans="1:4" ht="15.75" customHeight="1"/>
    <row r="255" spans="1:4" ht="15.75" customHeight="1"/>
    <row r="256" spans="1: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251">
    <cfRule type="cellIs" dxfId="9" priority="2" operator="equal">
      <formula>"Presente"</formula>
    </cfRule>
  </conditionalFormatting>
  <conditionalFormatting sqref="D2:D251">
    <cfRule type="cellIs" dxfId="8" priority="1" operator="equal">
      <formula>"Ausente"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F325E-37B0-4B7E-A9CD-C653CFC904E2}">
  <dimension ref="A1:M51"/>
  <sheetViews>
    <sheetView workbookViewId="0">
      <selection activeCell="I11" sqref="I11"/>
    </sheetView>
  </sheetViews>
  <sheetFormatPr defaultRowHeight="15"/>
  <cols>
    <col min="1" max="1" width="11.5703125" bestFit="1" customWidth="1"/>
    <col min="2" max="2" width="12.85546875" bestFit="1" customWidth="1"/>
    <col min="3" max="5" width="36.5703125" bestFit="1" customWidth="1"/>
    <col min="7" max="7" width="26.140625" bestFit="1" customWidth="1"/>
    <col min="8" max="8" width="34.140625" bestFit="1" customWidth="1"/>
    <col min="9" max="9" width="26.140625" customWidth="1"/>
  </cols>
  <sheetData>
    <row r="1" spans="1:13" ht="15.75">
      <c r="A1" s="12" t="s">
        <v>121</v>
      </c>
      <c r="B1" s="12" t="s">
        <v>122</v>
      </c>
      <c r="C1" s="12" t="s">
        <v>123</v>
      </c>
      <c r="D1" s="12" t="s">
        <v>124</v>
      </c>
      <c r="E1" s="12" t="s">
        <v>125</v>
      </c>
      <c r="F1" s="12" t="s">
        <v>126</v>
      </c>
      <c r="G1" s="12" t="s">
        <v>127</v>
      </c>
      <c r="H1" s="12" t="s">
        <v>128</v>
      </c>
      <c r="I1" s="12"/>
    </row>
    <row r="2" spans="1:13" ht="15.75">
      <c r="A2" s="5" t="s">
        <v>2</v>
      </c>
      <c r="B2" s="10">
        <v>41257</v>
      </c>
      <c r="C2" s="9" t="str">
        <f>_xlfn.XLOOKUP(A2,List1_ContactInfo!A$2:A$58,List1_ContactInfo!B$2:B$58)</f>
        <v>attendee1@company.com</v>
      </c>
      <c r="D2" s="9" t="str">
        <f>_xlfn.XLOOKUP(A2,List2_Department!A$2:A$51,List2_Department!B$2:B$51)</f>
        <v>Marketing</v>
      </c>
      <c r="E2" s="11">
        <f>DATE(2012,12,7) - DATE(2012,12,3) + 1</f>
        <v>5</v>
      </c>
      <c r="F2" s="9">
        <f>COUNTIFS(List3_Details!A$2:A$251,'Hoja creada por mi'!A2,List3_Details!C$2:C$251,"Yes")</f>
        <v>2</v>
      </c>
      <c r="G2" s="13">
        <f>IF(F2&lt;&gt;0,(F2/E2),0)</f>
        <v>0.4</v>
      </c>
      <c r="H2" s="9" t="str">
        <f>IF(OR(D2="Marketing",D2="Sales",D2="HR"),IF(G2&gt;=60%,"Cumplido","Incumplido"),IF(G2&gt;40%,"Cumplido","Incumplido"))</f>
        <v>Incumplido</v>
      </c>
      <c r="I2" s="13"/>
    </row>
    <row r="3" spans="1:13" ht="15.75">
      <c r="A3" s="5" t="s">
        <v>4</v>
      </c>
      <c r="B3" s="10">
        <v>41257</v>
      </c>
      <c r="C3" s="9" t="str">
        <f>_xlfn.XLOOKUP(A3,List1_ContactInfo!A$2:A$58,List1_ContactInfo!B$2:B$58)</f>
        <v>attendee2@company.com</v>
      </c>
      <c r="D3" s="9" t="str">
        <f>_xlfn.XLOOKUP(A3,List2_Department!A$2:A$51,List2_Department!B$2:B$51)</f>
        <v>Sales</v>
      </c>
      <c r="E3" s="11">
        <f t="shared" ref="E3:E51" si="0">DATE(2012,12,7) - DATE(2012,12,3) + 1</f>
        <v>5</v>
      </c>
      <c r="F3" s="9">
        <f>COUNTIFS(List3_Details!A$2:A$251,'Hoja creada por mi'!A3,List3_Details!C$2:C$251,"Yes")</f>
        <v>3</v>
      </c>
      <c r="G3" s="13">
        <f t="shared" ref="G3:G51" si="1">IF(F3&lt;&gt;0,(F3/E3),0)</f>
        <v>0.6</v>
      </c>
      <c r="H3" s="9" t="str">
        <f t="shared" ref="H3:H51" si="2">IF(OR(D3="Marketing",D3="Sales",D3="HR"),IF(G3&gt;=60%,"Cumplido","Incumplido"),IF(G3&gt;40%,"Cumplido","Incumplido"))</f>
        <v>Cumplido</v>
      </c>
      <c r="I3" s="13"/>
    </row>
    <row r="4" spans="1:13" ht="15.75">
      <c r="A4" s="5" t="s">
        <v>6</v>
      </c>
      <c r="B4" s="10">
        <v>41257</v>
      </c>
      <c r="C4" s="9" t="str">
        <f>_xlfn.XLOOKUP(A4,List1_ContactInfo!A$2:A$58,List1_ContactInfo!B$2:B$58)</f>
        <v>attendee3@company.com</v>
      </c>
      <c r="D4" s="9" t="str">
        <f>_xlfn.XLOOKUP(A4,List2_Department!A$2:A$51,List2_Department!B$2:B$51)</f>
        <v>HR</v>
      </c>
      <c r="E4" s="11">
        <f t="shared" si="0"/>
        <v>5</v>
      </c>
      <c r="F4" s="9">
        <f>COUNTIFS(List3_Details!A$2:A$251,'Hoja creada por mi'!A4,List3_Details!C$2:C$251,"Yes")</f>
        <v>2</v>
      </c>
      <c r="G4" s="13">
        <f t="shared" si="1"/>
        <v>0.4</v>
      </c>
      <c r="H4" s="9" t="str">
        <f t="shared" si="2"/>
        <v>Incumplido</v>
      </c>
      <c r="I4" s="13"/>
    </row>
    <row r="5" spans="1:13" ht="15.75">
      <c r="A5" s="5" t="s">
        <v>8</v>
      </c>
      <c r="B5" s="10">
        <v>41257</v>
      </c>
      <c r="C5" s="9" t="str">
        <f>_xlfn.XLOOKUP(A5,List1_ContactInfo!A$2:A$58,List1_ContactInfo!B$2:B$58)</f>
        <v>attendee4@company.com</v>
      </c>
      <c r="D5" s="9" t="str">
        <f>_xlfn.XLOOKUP(A5,List2_Department!A$2:A$51,List2_Department!B$2:B$51)</f>
        <v>IT</v>
      </c>
      <c r="E5" s="11">
        <f t="shared" si="0"/>
        <v>5</v>
      </c>
      <c r="F5" s="9">
        <f>COUNTIFS(List3_Details!A$2:A$251,'Hoja creada por mi'!A5,List3_Details!C$2:C$251,"Yes")</f>
        <v>2</v>
      </c>
      <c r="G5" s="13">
        <f t="shared" si="1"/>
        <v>0.4</v>
      </c>
      <c r="H5" s="9" t="str">
        <f>IF(OR(D5="Marketing",D5="Sales",D5="HR"),IF(G5&gt;=60%,"Cumplido","Incumplido"),IF(G5&gt;40%,"Cumplido","Incumplido"))</f>
        <v>Incumplido</v>
      </c>
      <c r="I5" s="13"/>
    </row>
    <row r="6" spans="1:13" ht="15.75">
      <c r="A6" s="5" t="s">
        <v>10</v>
      </c>
      <c r="B6" s="10">
        <v>41257</v>
      </c>
      <c r="C6" s="9" t="str">
        <f>_xlfn.XLOOKUP(A6,List1_ContactInfo!A$2:A$58,List1_ContactInfo!B$2:B$58)</f>
        <v>attendee5@company.com</v>
      </c>
      <c r="D6" s="9" t="str">
        <f>_xlfn.XLOOKUP(A6,List2_Department!A$2:A$51,List2_Department!B$2:B$51)</f>
        <v>Finance</v>
      </c>
      <c r="E6" s="11">
        <f t="shared" si="0"/>
        <v>5</v>
      </c>
      <c r="F6" s="9">
        <f>COUNTIFS(List3_Details!A$2:A$251,'Hoja creada por mi'!A6,List3_Details!C$2:C$251,"Yes")</f>
        <v>3</v>
      </c>
      <c r="G6" s="13">
        <f t="shared" si="1"/>
        <v>0.6</v>
      </c>
      <c r="H6" s="9" t="str">
        <f t="shared" si="2"/>
        <v>Cumplido</v>
      </c>
      <c r="I6" s="13"/>
    </row>
    <row r="7" spans="1:13" ht="15.75">
      <c r="A7" s="5" t="s">
        <v>12</v>
      </c>
      <c r="B7" s="10">
        <v>41257</v>
      </c>
      <c r="C7" s="9" t="str">
        <f>_xlfn.XLOOKUP(A7,List1_ContactInfo!A$2:A$58,List1_ContactInfo!B$2:B$58)</f>
        <v>attendee6@company.com</v>
      </c>
      <c r="D7" s="9" t="str">
        <f>_xlfn.XLOOKUP(A7,List2_Department!A$2:A$51,List2_Department!B$2:B$51)</f>
        <v>Marketing</v>
      </c>
      <c r="E7" s="11">
        <f t="shared" si="0"/>
        <v>5</v>
      </c>
      <c r="F7" s="9">
        <f>COUNTIFS(List3_Details!A$2:A$251,'Hoja creada por mi'!A7,List3_Details!C$2:C$251,"Yes")</f>
        <v>3</v>
      </c>
      <c r="G7" s="13">
        <f t="shared" si="1"/>
        <v>0.6</v>
      </c>
      <c r="H7" s="9" t="str">
        <f t="shared" si="2"/>
        <v>Cumplido</v>
      </c>
      <c r="I7" s="13"/>
      <c r="M7" s="9"/>
    </row>
    <row r="8" spans="1:13" ht="15.75">
      <c r="A8" s="5" t="s">
        <v>14</v>
      </c>
      <c r="B8" s="10">
        <v>41257</v>
      </c>
      <c r="C8" s="9" t="str">
        <f>_xlfn.XLOOKUP(A8,List1_ContactInfo!A$2:A$58,List1_ContactInfo!B$2:B$58)</f>
        <v>attendee7@company.com</v>
      </c>
      <c r="D8" s="9" t="str">
        <f>_xlfn.XLOOKUP(A8,List2_Department!A$2:A$51,List2_Department!B$2:B$51)</f>
        <v>Sales</v>
      </c>
      <c r="E8" s="11">
        <f t="shared" si="0"/>
        <v>5</v>
      </c>
      <c r="F8" s="9">
        <f>COUNTIFS(List3_Details!A$2:A$251,'Hoja creada por mi'!A8,List3_Details!C$2:C$251,"Yes")</f>
        <v>4</v>
      </c>
      <c r="G8" s="13">
        <f t="shared" si="1"/>
        <v>0.8</v>
      </c>
      <c r="H8" s="9" t="str">
        <f t="shared" si="2"/>
        <v>Cumplido</v>
      </c>
      <c r="I8" s="13"/>
    </row>
    <row r="9" spans="1:13" ht="15.75">
      <c r="A9" s="5" t="s">
        <v>16</v>
      </c>
      <c r="B9" s="10">
        <v>41257</v>
      </c>
      <c r="C9" s="9" t="str">
        <f>_xlfn.XLOOKUP(A9,List1_ContactInfo!A$2:A$58,List1_ContactInfo!B$2:B$58)</f>
        <v>attendee8@company.com</v>
      </c>
      <c r="D9" s="9" t="str">
        <f>_xlfn.XLOOKUP(A9,List2_Department!A$2:A$51,List2_Department!B$2:B$51)</f>
        <v>HR</v>
      </c>
      <c r="E9" s="11">
        <f t="shared" si="0"/>
        <v>5</v>
      </c>
      <c r="F9" s="9">
        <f>COUNTIFS(List3_Details!A$2:A$251,'Hoja creada por mi'!A9,List3_Details!C$2:C$251,"Yes")</f>
        <v>3</v>
      </c>
      <c r="G9" s="13">
        <f t="shared" si="1"/>
        <v>0.6</v>
      </c>
      <c r="H9" s="9" t="str">
        <f t="shared" si="2"/>
        <v>Cumplido</v>
      </c>
      <c r="I9" s="13"/>
    </row>
    <row r="10" spans="1:13" ht="15.75">
      <c r="A10" s="5" t="s">
        <v>18</v>
      </c>
      <c r="B10" s="10">
        <v>41257</v>
      </c>
      <c r="C10" s="9" t="str">
        <f>_xlfn.XLOOKUP(A10,List1_ContactInfo!A$2:A$58,List1_ContactInfo!B$2:B$58)</f>
        <v>attendee9@company.com</v>
      </c>
      <c r="D10" s="9" t="str">
        <f>_xlfn.XLOOKUP(A10,List2_Department!A$2:A$51,List2_Department!B$2:B$51)</f>
        <v>IT</v>
      </c>
      <c r="E10" s="11">
        <f t="shared" si="0"/>
        <v>5</v>
      </c>
      <c r="F10" s="9">
        <f>COUNTIFS(List3_Details!A$2:A$251,'Hoja creada por mi'!A10,List3_Details!C$2:C$251,"Yes")</f>
        <v>4</v>
      </c>
      <c r="G10" s="13">
        <f t="shared" si="1"/>
        <v>0.8</v>
      </c>
      <c r="H10" s="9" t="str">
        <f t="shared" si="2"/>
        <v>Cumplido</v>
      </c>
      <c r="I10" s="13"/>
    </row>
    <row r="11" spans="1:13" ht="15.75">
      <c r="A11" s="5" t="s">
        <v>20</v>
      </c>
      <c r="B11" s="10">
        <v>41257</v>
      </c>
      <c r="C11" s="9" t="str">
        <f>_xlfn.XLOOKUP(A11,List1_ContactInfo!A$2:A$58,List1_ContactInfo!B$2:B$58)</f>
        <v>attendee10@company.com</v>
      </c>
      <c r="D11" s="9" t="str">
        <f>_xlfn.XLOOKUP(A11,List2_Department!A$2:A$51,List2_Department!B$2:B$51)</f>
        <v>Finance</v>
      </c>
      <c r="E11" s="11">
        <f t="shared" si="0"/>
        <v>5</v>
      </c>
      <c r="F11" s="9">
        <f>COUNTIFS(List3_Details!A$2:A$251,'Hoja creada por mi'!A11,List3_Details!C$2:C$251,"Yes")</f>
        <v>2</v>
      </c>
      <c r="G11" s="13">
        <f t="shared" si="1"/>
        <v>0.4</v>
      </c>
      <c r="H11" s="9" t="str">
        <f t="shared" si="2"/>
        <v>Incumplido</v>
      </c>
      <c r="I11" s="13"/>
    </row>
    <row r="12" spans="1:13" ht="15.75">
      <c r="A12" s="5" t="s">
        <v>22</v>
      </c>
      <c r="B12" s="10">
        <v>41257</v>
      </c>
      <c r="C12" s="9" t="str">
        <f>_xlfn.XLOOKUP(A12,List1_ContactInfo!A$2:A$58,List1_ContactInfo!B$2:B$58)</f>
        <v>attendee11@company.com</v>
      </c>
      <c r="D12" s="9" t="str">
        <f>_xlfn.XLOOKUP(A12,List2_Department!A$2:A$51,List2_Department!B$2:B$51)</f>
        <v>Marketing</v>
      </c>
      <c r="E12" s="11">
        <f t="shared" si="0"/>
        <v>5</v>
      </c>
      <c r="F12" s="9">
        <f>COUNTIFS(List3_Details!A$2:A$251,'Hoja creada por mi'!A12,List3_Details!C$2:C$251,"Yes")</f>
        <v>3</v>
      </c>
      <c r="G12" s="13">
        <f t="shared" si="1"/>
        <v>0.6</v>
      </c>
      <c r="H12" s="9" t="str">
        <f t="shared" si="2"/>
        <v>Cumplido</v>
      </c>
      <c r="I12" s="13"/>
    </row>
    <row r="13" spans="1:13" ht="15.75">
      <c r="A13" s="5" t="s">
        <v>24</v>
      </c>
      <c r="B13" s="10">
        <v>41257</v>
      </c>
      <c r="C13" s="9" t="str">
        <f>_xlfn.XLOOKUP(A13,List1_ContactInfo!A$2:A$58,List1_ContactInfo!B$2:B$58)</f>
        <v>attendee12@company.com</v>
      </c>
      <c r="D13" s="9" t="str">
        <f>_xlfn.XLOOKUP(A13,List2_Department!A$2:A$51,List2_Department!B$2:B$51)</f>
        <v>Sales</v>
      </c>
      <c r="E13" s="11">
        <f t="shared" si="0"/>
        <v>5</v>
      </c>
      <c r="F13" s="9">
        <f>COUNTIFS(List3_Details!A$2:A$251,'Hoja creada por mi'!A13,List3_Details!C$2:C$251,"Yes")</f>
        <v>0</v>
      </c>
      <c r="G13" s="13">
        <f t="shared" si="1"/>
        <v>0</v>
      </c>
      <c r="H13" s="9" t="str">
        <f t="shared" si="2"/>
        <v>Incumplido</v>
      </c>
      <c r="I13" s="13"/>
    </row>
    <row r="14" spans="1:13" ht="15.75">
      <c r="A14" s="5" t="s">
        <v>26</v>
      </c>
      <c r="B14" s="10">
        <v>41257</v>
      </c>
      <c r="C14" s="9" t="str">
        <f>_xlfn.XLOOKUP(A14,List1_ContactInfo!A$2:A$58,List1_ContactInfo!B$2:B$58)</f>
        <v>attendee13@company.com</v>
      </c>
      <c r="D14" s="9" t="str">
        <f>_xlfn.XLOOKUP(A14,List2_Department!A$2:A$51,List2_Department!B$2:B$51)</f>
        <v>HR</v>
      </c>
      <c r="E14" s="11">
        <f t="shared" si="0"/>
        <v>5</v>
      </c>
      <c r="F14" s="9">
        <f>COUNTIFS(List3_Details!A$2:A$251,'Hoja creada por mi'!A14,List3_Details!C$2:C$251,"Yes")</f>
        <v>3</v>
      </c>
      <c r="G14" s="13">
        <f t="shared" si="1"/>
        <v>0.6</v>
      </c>
      <c r="H14" s="9" t="str">
        <f t="shared" si="2"/>
        <v>Cumplido</v>
      </c>
      <c r="I14" s="13"/>
    </row>
    <row r="15" spans="1:13" ht="15.75">
      <c r="A15" s="5" t="s">
        <v>28</v>
      </c>
      <c r="B15" s="10">
        <v>41257</v>
      </c>
      <c r="C15" s="9" t="str">
        <f>_xlfn.XLOOKUP(A15,List1_ContactInfo!A$2:A$58,List1_ContactInfo!B$2:B$58)</f>
        <v>attendee14@company.com</v>
      </c>
      <c r="D15" s="9" t="str">
        <f>_xlfn.XLOOKUP(A15,List2_Department!A$2:A$51,List2_Department!B$2:B$51)</f>
        <v>IT</v>
      </c>
      <c r="E15" s="11">
        <f t="shared" si="0"/>
        <v>5</v>
      </c>
      <c r="F15" s="9">
        <f>COUNTIFS(List3_Details!A$2:A$251,'Hoja creada por mi'!A15,List3_Details!C$2:C$251,"Yes")</f>
        <v>3</v>
      </c>
      <c r="G15" s="13">
        <f t="shared" si="1"/>
        <v>0.6</v>
      </c>
      <c r="H15" s="9" t="str">
        <f t="shared" si="2"/>
        <v>Cumplido</v>
      </c>
      <c r="I15" s="13"/>
    </row>
    <row r="16" spans="1:13" ht="15.75">
      <c r="A16" s="5" t="s">
        <v>30</v>
      </c>
      <c r="B16" s="10">
        <v>41257</v>
      </c>
      <c r="C16" s="9" t="str">
        <f>_xlfn.XLOOKUP(A16,List1_ContactInfo!A$2:A$58,List1_ContactInfo!B$2:B$58)</f>
        <v>attendee15@company.com</v>
      </c>
      <c r="D16" s="9" t="str">
        <f>_xlfn.XLOOKUP(A16,List2_Department!A$2:A$51,List2_Department!B$2:B$51)</f>
        <v>Finance</v>
      </c>
      <c r="E16" s="11">
        <f t="shared" si="0"/>
        <v>5</v>
      </c>
      <c r="F16" s="9">
        <f>COUNTIFS(List3_Details!A$2:A$251,'Hoja creada por mi'!A16,List3_Details!C$2:C$251,"Yes")</f>
        <v>3</v>
      </c>
      <c r="G16" s="13">
        <f t="shared" si="1"/>
        <v>0.6</v>
      </c>
      <c r="H16" s="9" t="str">
        <f t="shared" si="2"/>
        <v>Cumplido</v>
      </c>
      <c r="I16" s="13"/>
    </row>
    <row r="17" spans="1:9" ht="15.75">
      <c r="A17" s="5" t="s">
        <v>32</v>
      </c>
      <c r="B17" s="10">
        <v>41257</v>
      </c>
      <c r="C17" s="9" t="str">
        <f>_xlfn.XLOOKUP(A17,List1_ContactInfo!A$2:A$58,List1_ContactInfo!B$2:B$58)</f>
        <v>attendee16@company.com</v>
      </c>
      <c r="D17" s="9" t="str">
        <f>_xlfn.XLOOKUP(A17,List2_Department!A$2:A$51,List2_Department!B$2:B$51)</f>
        <v>Marketing</v>
      </c>
      <c r="E17" s="11">
        <f t="shared" si="0"/>
        <v>5</v>
      </c>
      <c r="F17" s="9">
        <f>COUNTIFS(List3_Details!A$2:A$251,'Hoja creada por mi'!A17,List3_Details!C$2:C$251,"Yes")</f>
        <v>2</v>
      </c>
      <c r="G17" s="13">
        <f t="shared" si="1"/>
        <v>0.4</v>
      </c>
      <c r="H17" s="9" t="str">
        <f t="shared" si="2"/>
        <v>Incumplido</v>
      </c>
      <c r="I17" s="13"/>
    </row>
    <row r="18" spans="1:9" ht="15.75">
      <c r="A18" s="5" t="s">
        <v>34</v>
      </c>
      <c r="B18" s="10">
        <v>41257</v>
      </c>
      <c r="C18" s="9" t="str">
        <f>_xlfn.XLOOKUP(A18,List1_ContactInfo!A$2:A$58,List1_ContactInfo!B$2:B$58)</f>
        <v>attendee17@company.com</v>
      </c>
      <c r="D18" s="9" t="str">
        <f>_xlfn.XLOOKUP(A18,List2_Department!A$2:A$51,List2_Department!B$2:B$51)</f>
        <v>Sales</v>
      </c>
      <c r="E18" s="11">
        <f t="shared" si="0"/>
        <v>5</v>
      </c>
      <c r="F18" s="9">
        <f>COUNTIFS(List3_Details!A$2:A$251,'Hoja creada por mi'!A18,List3_Details!C$2:C$251,"Yes")</f>
        <v>3</v>
      </c>
      <c r="G18" s="13">
        <f t="shared" si="1"/>
        <v>0.6</v>
      </c>
      <c r="H18" s="9" t="str">
        <f t="shared" si="2"/>
        <v>Cumplido</v>
      </c>
      <c r="I18" s="13"/>
    </row>
    <row r="19" spans="1:9" ht="15.75">
      <c r="A19" s="5" t="s">
        <v>36</v>
      </c>
      <c r="B19" s="10">
        <v>41257</v>
      </c>
      <c r="C19" s="9" t="str">
        <f>_xlfn.XLOOKUP(A19,List1_ContactInfo!A$2:A$58,List1_ContactInfo!B$2:B$58)</f>
        <v>attendee18@company.com</v>
      </c>
      <c r="D19" s="9" t="str">
        <f>_xlfn.XLOOKUP(A19,List2_Department!A$2:A$51,List2_Department!B$2:B$51)</f>
        <v>HR</v>
      </c>
      <c r="E19" s="11">
        <f t="shared" si="0"/>
        <v>5</v>
      </c>
      <c r="F19" s="9">
        <f>COUNTIFS(List3_Details!A$2:A$251,'Hoja creada por mi'!A19,List3_Details!C$2:C$251,"Yes")</f>
        <v>3</v>
      </c>
      <c r="G19" s="13">
        <f t="shared" si="1"/>
        <v>0.6</v>
      </c>
      <c r="H19" s="9" t="str">
        <f t="shared" si="2"/>
        <v>Cumplido</v>
      </c>
      <c r="I19" s="13"/>
    </row>
    <row r="20" spans="1:9" ht="15.75">
      <c r="A20" s="5" t="s">
        <v>38</v>
      </c>
      <c r="B20" s="10">
        <v>41257</v>
      </c>
      <c r="C20" s="9" t="str">
        <f>_xlfn.XLOOKUP(A20,List1_ContactInfo!A$2:A$58,List1_ContactInfo!B$2:B$58)</f>
        <v>attendee19@company.com</v>
      </c>
      <c r="D20" s="9" t="str">
        <f>_xlfn.XLOOKUP(A20,List2_Department!A$2:A$51,List2_Department!B$2:B$51)</f>
        <v>IT</v>
      </c>
      <c r="E20" s="11">
        <f t="shared" si="0"/>
        <v>5</v>
      </c>
      <c r="F20" s="9">
        <f>COUNTIFS(List3_Details!A$2:A$251,'Hoja creada por mi'!A20,List3_Details!C$2:C$251,"Yes")</f>
        <v>3</v>
      </c>
      <c r="G20" s="13">
        <f t="shared" si="1"/>
        <v>0.6</v>
      </c>
      <c r="H20" s="9" t="str">
        <f t="shared" si="2"/>
        <v>Cumplido</v>
      </c>
      <c r="I20" s="13"/>
    </row>
    <row r="21" spans="1:9" ht="15.75">
      <c r="A21" s="5" t="s">
        <v>40</v>
      </c>
      <c r="B21" s="10">
        <v>41257</v>
      </c>
      <c r="C21" s="9" t="str">
        <f>_xlfn.XLOOKUP(A21,List1_ContactInfo!A$2:A$58,List1_ContactInfo!B$2:B$58)</f>
        <v>attendee20@company.com</v>
      </c>
      <c r="D21" s="9" t="str">
        <f>_xlfn.XLOOKUP(A21,List2_Department!A$2:A$51,List2_Department!B$2:B$51)</f>
        <v>Finance</v>
      </c>
      <c r="E21" s="11">
        <f t="shared" si="0"/>
        <v>5</v>
      </c>
      <c r="F21" s="9">
        <f>COUNTIFS(List3_Details!A$2:A$251,'Hoja creada por mi'!A21,List3_Details!C$2:C$251,"Yes")</f>
        <v>2</v>
      </c>
      <c r="G21" s="13">
        <f t="shared" si="1"/>
        <v>0.4</v>
      </c>
      <c r="H21" s="9" t="str">
        <f t="shared" si="2"/>
        <v>Incumplido</v>
      </c>
      <c r="I21" s="13"/>
    </row>
    <row r="22" spans="1:9" ht="15.75">
      <c r="A22" s="5" t="s">
        <v>42</v>
      </c>
      <c r="B22" s="10">
        <v>41257</v>
      </c>
      <c r="C22" s="9" t="str">
        <f>_xlfn.XLOOKUP(A22,List1_ContactInfo!A$2:A$58,List1_ContactInfo!B$2:B$58)</f>
        <v>attendee21@company.com</v>
      </c>
      <c r="D22" s="9" t="str">
        <f>_xlfn.XLOOKUP(A22,List2_Department!A$2:A$51,List2_Department!B$2:B$51)</f>
        <v>Marketing</v>
      </c>
      <c r="E22" s="11">
        <f t="shared" si="0"/>
        <v>5</v>
      </c>
      <c r="F22" s="9">
        <f>COUNTIFS(List3_Details!A$2:A$251,'Hoja creada por mi'!A22,List3_Details!C$2:C$251,"Yes")</f>
        <v>3</v>
      </c>
      <c r="G22" s="13">
        <f t="shared" si="1"/>
        <v>0.6</v>
      </c>
      <c r="H22" s="9" t="str">
        <f t="shared" si="2"/>
        <v>Cumplido</v>
      </c>
      <c r="I22" s="13"/>
    </row>
    <row r="23" spans="1:9" ht="15.75">
      <c r="A23" s="5" t="s">
        <v>44</v>
      </c>
      <c r="B23" s="10">
        <v>41257</v>
      </c>
      <c r="C23" s="9" t="str">
        <f>_xlfn.XLOOKUP(A23,List1_ContactInfo!A$2:A$58,List1_ContactInfo!B$2:B$58)</f>
        <v>attendee22@company.com</v>
      </c>
      <c r="D23" s="9" t="str">
        <f>_xlfn.XLOOKUP(A23,List2_Department!A$2:A$51,List2_Department!B$2:B$51)</f>
        <v>Sales</v>
      </c>
      <c r="E23" s="11">
        <f t="shared" si="0"/>
        <v>5</v>
      </c>
      <c r="F23" s="9">
        <f>COUNTIFS(List3_Details!A$2:A$251,'Hoja creada por mi'!A23,List3_Details!C$2:C$251,"Yes")</f>
        <v>1</v>
      </c>
      <c r="G23" s="13">
        <f t="shared" si="1"/>
        <v>0.2</v>
      </c>
      <c r="H23" s="9" t="str">
        <f t="shared" si="2"/>
        <v>Incumplido</v>
      </c>
      <c r="I23" s="13"/>
    </row>
    <row r="24" spans="1:9" ht="15.75">
      <c r="A24" s="5" t="s">
        <v>46</v>
      </c>
      <c r="B24" s="10">
        <v>41257</v>
      </c>
      <c r="C24" s="9" t="str">
        <f>_xlfn.XLOOKUP(A24,List1_ContactInfo!A$2:A$58,List1_ContactInfo!B$2:B$58)</f>
        <v>attendee23@company.com</v>
      </c>
      <c r="D24" s="9" t="str">
        <f>_xlfn.XLOOKUP(A24,List2_Department!A$2:A$51,List2_Department!B$2:B$51)</f>
        <v>HR</v>
      </c>
      <c r="E24" s="11">
        <f t="shared" si="0"/>
        <v>5</v>
      </c>
      <c r="F24" s="9">
        <f>COUNTIFS(List3_Details!A$2:A$251,'Hoja creada por mi'!A24,List3_Details!C$2:C$251,"Yes")</f>
        <v>3</v>
      </c>
      <c r="G24" s="13">
        <f t="shared" si="1"/>
        <v>0.6</v>
      </c>
      <c r="H24" s="9" t="str">
        <f t="shared" si="2"/>
        <v>Cumplido</v>
      </c>
      <c r="I24" s="13"/>
    </row>
    <row r="25" spans="1:9" ht="15.75">
      <c r="A25" s="5" t="s">
        <v>48</v>
      </c>
      <c r="B25" s="10">
        <v>41257</v>
      </c>
      <c r="C25" s="9" t="str">
        <f>_xlfn.XLOOKUP(A25,List1_ContactInfo!A$2:A$58,List1_ContactInfo!B$2:B$58)</f>
        <v>attendee24@company.com</v>
      </c>
      <c r="D25" s="9" t="str">
        <f>_xlfn.XLOOKUP(A25,List2_Department!A$2:A$51,List2_Department!B$2:B$51)</f>
        <v>IT</v>
      </c>
      <c r="E25" s="11">
        <f t="shared" si="0"/>
        <v>5</v>
      </c>
      <c r="F25" s="9">
        <f>COUNTIFS(List3_Details!A$2:A$251,'Hoja creada por mi'!A25,List3_Details!C$2:C$251,"Yes")</f>
        <v>2</v>
      </c>
      <c r="G25" s="13">
        <f t="shared" si="1"/>
        <v>0.4</v>
      </c>
      <c r="H25" s="9" t="str">
        <f t="shared" si="2"/>
        <v>Incumplido</v>
      </c>
      <c r="I25" s="13"/>
    </row>
    <row r="26" spans="1:9" ht="15.75">
      <c r="A26" s="5" t="s">
        <v>50</v>
      </c>
      <c r="B26" s="10">
        <v>41257</v>
      </c>
      <c r="C26" s="9" t="str">
        <f>_xlfn.XLOOKUP(A26,List1_ContactInfo!A$2:A$58,List1_ContactInfo!B$2:B$58)</f>
        <v>attendee25@company.com</v>
      </c>
      <c r="D26" s="9" t="str">
        <f>_xlfn.XLOOKUP(A26,List2_Department!A$2:A$51,List2_Department!B$2:B$51)</f>
        <v>Finance</v>
      </c>
      <c r="E26" s="11">
        <f t="shared" si="0"/>
        <v>5</v>
      </c>
      <c r="F26" s="9">
        <f>COUNTIFS(List3_Details!A$2:A$251,'Hoja creada por mi'!A26,List3_Details!C$2:C$251,"Yes")</f>
        <v>2</v>
      </c>
      <c r="G26" s="13">
        <f t="shared" si="1"/>
        <v>0.4</v>
      </c>
      <c r="H26" s="9" t="str">
        <f t="shared" si="2"/>
        <v>Incumplido</v>
      </c>
      <c r="I26" s="13"/>
    </row>
    <row r="27" spans="1:9" ht="15.75">
      <c r="A27" s="5" t="s">
        <v>52</v>
      </c>
      <c r="B27" s="10">
        <v>41257</v>
      </c>
      <c r="C27" s="9" t="str">
        <f>_xlfn.XLOOKUP(A27,List1_ContactInfo!A$2:A$58,List1_ContactInfo!B$2:B$58)</f>
        <v>attendee26@company.com</v>
      </c>
      <c r="D27" s="9" t="str">
        <f>_xlfn.XLOOKUP(A27,List2_Department!A$2:A$51,List2_Department!B$2:B$51)</f>
        <v>Marketing</v>
      </c>
      <c r="E27" s="11">
        <f t="shared" si="0"/>
        <v>5</v>
      </c>
      <c r="F27" s="9">
        <f>COUNTIFS(List3_Details!A$2:A$251,'Hoja creada por mi'!A27,List3_Details!C$2:C$251,"Yes")</f>
        <v>2</v>
      </c>
      <c r="G27" s="13">
        <f t="shared" si="1"/>
        <v>0.4</v>
      </c>
      <c r="H27" s="9" t="str">
        <f t="shared" si="2"/>
        <v>Incumplido</v>
      </c>
      <c r="I27" s="13"/>
    </row>
    <row r="28" spans="1:9" ht="15.75">
      <c r="A28" s="5" t="s">
        <v>54</v>
      </c>
      <c r="B28" s="10">
        <v>41257</v>
      </c>
      <c r="C28" s="9" t="str">
        <f>_xlfn.XLOOKUP(A28,List1_ContactInfo!A$2:A$58,List1_ContactInfo!B$2:B$58)</f>
        <v>attendee27@company.com</v>
      </c>
      <c r="D28" s="9" t="str">
        <f>_xlfn.XLOOKUP(A28,List2_Department!A$2:A$51,List2_Department!B$2:B$51)</f>
        <v>Sales</v>
      </c>
      <c r="E28" s="11">
        <f t="shared" si="0"/>
        <v>5</v>
      </c>
      <c r="F28" s="9">
        <f>COUNTIFS(List3_Details!A$2:A$251,'Hoja creada por mi'!A28,List3_Details!C$2:C$251,"Yes")</f>
        <v>4</v>
      </c>
      <c r="G28" s="13">
        <f t="shared" si="1"/>
        <v>0.8</v>
      </c>
      <c r="H28" s="9" t="str">
        <f t="shared" si="2"/>
        <v>Cumplido</v>
      </c>
      <c r="I28" s="13"/>
    </row>
    <row r="29" spans="1:9" ht="15.75">
      <c r="A29" s="5" t="s">
        <v>56</v>
      </c>
      <c r="B29" s="10">
        <v>41257</v>
      </c>
      <c r="C29" s="9" t="str">
        <f>_xlfn.XLOOKUP(A29,List1_ContactInfo!A$2:A$58,List1_ContactInfo!B$2:B$58)</f>
        <v>attendee28@company.com</v>
      </c>
      <c r="D29" s="9" t="str">
        <f>_xlfn.XLOOKUP(A29,List2_Department!A$2:A$51,List2_Department!B$2:B$51)</f>
        <v>HR</v>
      </c>
      <c r="E29" s="11">
        <f t="shared" si="0"/>
        <v>5</v>
      </c>
      <c r="F29" s="9">
        <f>COUNTIFS(List3_Details!A$2:A$251,'Hoja creada por mi'!A29,List3_Details!C$2:C$251,"Yes")</f>
        <v>0</v>
      </c>
      <c r="G29" s="13">
        <f t="shared" si="1"/>
        <v>0</v>
      </c>
      <c r="H29" s="9" t="str">
        <f t="shared" si="2"/>
        <v>Incumplido</v>
      </c>
      <c r="I29" s="13"/>
    </row>
    <row r="30" spans="1:9" ht="15.75">
      <c r="A30" s="5" t="s">
        <v>58</v>
      </c>
      <c r="B30" s="10">
        <v>41257</v>
      </c>
      <c r="C30" s="9" t="str">
        <f>_xlfn.XLOOKUP(A30,List1_ContactInfo!A$2:A$58,List1_ContactInfo!B$2:B$58)</f>
        <v>attendee29@company.com</v>
      </c>
      <c r="D30" s="9" t="str">
        <f>_xlfn.XLOOKUP(A30,List2_Department!A$2:A$51,List2_Department!B$2:B$51)</f>
        <v>IT</v>
      </c>
      <c r="E30" s="11">
        <f t="shared" si="0"/>
        <v>5</v>
      </c>
      <c r="F30" s="9">
        <f>COUNTIFS(List3_Details!A$2:A$251,'Hoja creada por mi'!A30,List3_Details!C$2:C$251,"Yes")</f>
        <v>3</v>
      </c>
      <c r="G30" s="13">
        <f t="shared" si="1"/>
        <v>0.6</v>
      </c>
      <c r="H30" s="9" t="str">
        <f t="shared" si="2"/>
        <v>Cumplido</v>
      </c>
      <c r="I30" s="13"/>
    </row>
    <row r="31" spans="1:9" ht="15.75">
      <c r="A31" s="5" t="s">
        <v>60</v>
      </c>
      <c r="B31" s="10">
        <v>41257</v>
      </c>
      <c r="C31" s="9" t="str">
        <f>_xlfn.XLOOKUP(A31,List1_ContactInfo!A$2:A$58,List1_ContactInfo!B$2:B$58)</f>
        <v>attendee30@company.com</v>
      </c>
      <c r="D31" s="9" t="str">
        <f>_xlfn.XLOOKUP(A31,List2_Department!A$2:A$51,List2_Department!B$2:B$51)</f>
        <v>Finance</v>
      </c>
      <c r="E31" s="11">
        <f t="shared" si="0"/>
        <v>5</v>
      </c>
      <c r="F31" s="9">
        <f>COUNTIFS(List3_Details!A$2:A$251,'Hoja creada por mi'!A31,List3_Details!C$2:C$251,"Yes")</f>
        <v>4</v>
      </c>
      <c r="G31" s="13">
        <f t="shared" si="1"/>
        <v>0.8</v>
      </c>
      <c r="H31" s="9" t="str">
        <f t="shared" si="2"/>
        <v>Cumplido</v>
      </c>
      <c r="I31" s="13"/>
    </row>
    <row r="32" spans="1:9" ht="15.75">
      <c r="A32" s="5" t="s">
        <v>62</v>
      </c>
      <c r="B32" s="10">
        <v>41257</v>
      </c>
      <c r="C32" s="9" t="str">
        <f>_xlfn.XLOOKUP(A32,List1_ContactInfo!A$2:A$58,List1_ContactInfo!B$2:B$58)</f>
        <v>attendee31@company.com</v>
      </c>
      <c r="D32" s="9" t="str">
        <f>_xlfn.XLOOKUP(A32,List2_Department!A$2:A$51,List2_Department!B$2:B$51)</f>
        <v>Marketing</v>
      </c>
      <c r="E32" s="11">
        <f t="shared" si="0"/>
        <v>5</v>
      </c>
      <c r="F32" s="9">
        <f>COUNTIFS(List3_Details!A$2:A$251,'Hoja creada por mi'!A32,List3_Details!C$2:C$251,"Yes")</f>
        <v>2</v>
      </c>
      <c r="G32" s="13">
        <f t="shared" si="1"/>
        <v>0.4</v>
      </c>
      <c r="H32" s="9" t="str">
        <f t="shared" si="2"/>
        <v>Incumplido</v>
      </c>
      <c r="I32" s="13"/>
    </row>
    <row r="33" spans="1:9" ht="15.75">
      <c r="A33" s="5" t="s">
        <v>64</v>
      </c>
      <c r="B33" s="10">
        <v>41257</v>
      </c>
      <c r="C33" s="9" t="str">
        <f>_xlfn.XLOOKUP(A33,List1_ContactInfo!A$2:A$58,List1_ContactInfo!B$2:B$58)</f>
        <v>attendee32@company.com</v>
      </c>
      <c r="D33" s="9" t="str">
        <f>_xlfn.XLOOKUP(A33,List2_Department!A$2:A$51,List2_Department!B$2:B$51)</f>
        <v>Sales</v>
      </c>
      <c r="E33" s="11">
        <f t="shared" si="0"/>
        <v>5</v>
      </c>
      <c r="F33" s="9">
        <f>COUNTIFS(List3_Details!A$2:A$251,'Hoja creada por mi'!A33,List3_Details!C$2:C$251,"Yes")</f>
        <v>2</v>
      </c>
      <c r="G33" s="13">
        <f t="shared" si="1"/>
        <v>0.4</v>
      </c>
      <c r="H33" s="9" t="str">
        <f t="shared" si="2"/>
        <v>Incumplido</v>
      </c>
      <c r="I33" s="13"/>
    </row>
    <row r="34" spans="1:9" ht="15.75">
      <c r="A34" s="5" t="s">
        <v>66</v>
      </c>
      <c r="B34" s="10">
        <v>41257</v>
      </c>
      <c r="C34" s="9" t="str">
        <f>_xlfn.XLOOKUP(A34,List1_ContactInfo!A$2:A$58,List1_ContactInfo!B$2:B$58)</f>
        <v>attendee33@company.com</v>
      </c>
      <c r="D34" s="9" t="str">
        <f>_xlfn.XLOOKUP(A34,List2_Department!A$2:A$51,List2_Department!B$2:B$51)</f>
        <v>HR</v>
      </c>
      <c r="E34" s="11">
        <f t="shared" si="0"/>
        <v>5</v>
      </c>
      <c r="F34" s="9">
        <f>COUNTIFS(List3_Details!A$2:A$251,'Hoja creada por mi'!A34,List3_Details!C$2:C$251,"Yes")</f>
        <v>5</v>
      </c>
      <c r="G34" s="13">
        <f t="shared" si="1"/>
        <v>1</v>
      </c>
      <c r="H34" s="9" t="str">
        <f t="shared" si="2"/>
        <v>Cumplido</v>
      </c>
      <c r="I34" s="13"/>
    </row>
    <row r="35" spans="1:9" ht="15.75">
      <c r="A35" s="5" t="s">
        <v>68</v>
      </c>
      <c r="B35" s="10">
        <v>41257</v>
      </c>
      <c r="C35" s="9" t="str">
        <f>_xlfn.XLOOKUP(A35,List1_ContactInfo!A$2:A$58,List1_ContactInfo!B$2:B$58)</f>
        <v>attendee34@company.com</v>
      </c>
      <c r="D35" s="9" t="str">
        <f>_xlfn.XLOOKUP(A35,List2_Department!A$2:A$51,List2_Department!B$2:B$51)</f>
        <v>IT</v>
      </c>
      <c r="E35" s="11">
        <f t="shared" si="0"/>
        <v>5</v>
      </c>
      <c r="F35" s="9">
        <f>COUNTIFS(List3_Details!A$2:A$251,'Hoja creada por mi'!A35,List3_Details!C$2:C$251,"Yes")</f>
        <v>2</v>
      </c>
      <c r="G35" s="13">
        <f t="shared" si="1"/>
        <v>0.4</v>
      </c>
      <c r="H35" s="9" t="str">
        <f t="shared" si="2"/>
        <v>Incumplido</v>
      </c>
      <c r="I35" s="13"/>
    </row>
    <row r="36" spans="1:9" ht="15.75">
      <c r="A36" s="5" t="s">
        <v>70</v>
      </c>
      <c r="B36" s="10">
        <v>41257</v>
      </c>
      <c r="C36" s="9" t="str">
        <f>_xlfn.XLOOKUP(A36,List1_ContactInfo!A$2:A$58,List1_ContactInfo!B$2:B$58)</f>
        <v>attendee35@company.com</v>
      </c>
      <c r="D36" s="9" t="str">
        <f>_xlfn.XLOOKUP(A36,List2_Department!A$2:A$51,List2_Department!B$2:B$51)</f>
        <v>Finance</v>
      </c>
      <c r="E36" s="11">
        <f t="shared" si="0"/>
        <v>5</v>
      </c>
      <c r="F36" s="9">
        <f>COUNTIFS(List3_Details!A$2:A$251,'Hoja creada por mi'!A36,List3_Details!C$2:C$251,"Yes")</f>
        <v>3</v>
      </c>
      <c r="G36" s="13">
        <f t="shared" si="1"/>
        <v>0.6</v>
      </c>
      <c r="H36" s="9" t="str">
        <f t="shared" si="2"/>
        <v>Cumplido</v>
      </c>
      <c r="I36" s="13"/>
    </row>
    <row r="37" spans="1:9" ht="15.75">
      <c r="A37" s="5" t="s">
        <v>72</v>
      </c>
      <c r="B37" s="10">
        <v>41257</v>
      </c>
      <c r="C37" s="9" t="str">
        <f>_xlfn.XLOOKUP(A37,List1_ContactInfo!A$2:A$58,List1_ContactInfo!B$2:B$58)</f>
        <v>attendee36@company.com</v>
      </c>
      <c r="D37" s="9" t="str">
        <f>_xlfn.XLOOKUP(A37,List2_Department!A$2:A$51,List2_Department!B$2:B$51)</f>
        <v>Marketing</v>
      </c>
      <c r="E37" s="11">
        <f t="shared" si="0"/>
        <v>5</v>
      </c>
      <c r="F37" s="9">
        <f>COUNTIFS(List3_Details!A$2:A$251,'Hoja creada por mi'!A37,List3_Details!C$2:C$251,"Yes")</f>
        <v>3</v>
      </c>
      <c r="G37" s="13">
        <f t="shared" si="1"/>
        <v>0.6</v>
      </c>
      <c r="H37" s="9" t="str">
        <f t="shared" si="2"/>
        <v>Cumplido</v>
      </c>
      <c r="I37" s="13"/>
    </row>
    <row r="38" spans="1:9" ht="15.75">
      <c r="A38" s="5" t="s">
        <v>74</v>
      </c>
      <c r="B38" s="10">
        <v>41257</v>
      </c>
      <c r="C38" s="9" t="str">
        <f>_xlfn.XLOOKUP(A38,List1_ContactInfo!A$2:A$58,List1_ContactInfo!B$2:B$58)</f>
        <v>attendee37@company.com</v>
      </c>
      <c r="D38" s="9" t="str">
        <f>_xlfn.XLOOKUP(A38,List2_Department!A$2:A$51,List2_Department!B$2:B$51)</f>
        <v>Sales</v>
      </c>
      <c r="E38" s="11">
        <f t="shared" si="0"/>
        <v>5</v>
      </c>
      <c r="F38" s="9">
        <f>COUNTIFS(List3_Details!A$2:A$251,'Hoja creada por mi'!A38,List3_Details!C$2:C$251,"Yes")</f>
        <v>4</v>
      </c>
      <c r="G38" s="13">
        <f t="shared" si="1"/>
        <v>0.8</v>
      </c>
      <c r="H38" s="9" t="str">
        <f t="shared" si="2"/>
        <v>Cumplido</v>
      </c>
      <c r="I38" s="13"/>
    </row>
    <row r="39" spans="1:9" ht="15.75">
      <c r="A39" s="5" t="s">
        <v>76</v>
      </c>
      <c r="B39" s="10">
        <v>41257</v>
      </c>
      <c r="C39" s="9" t="str">
        <f>_xlfn.XLOOKUP(A39,List1_ContactInfo!A$2:A$58,List1_ContactInfo!B$2:B$58)</f>
        <v>attendee38@company.com</v>
      </c>
      <c r="D39" s="9" t="str">
        <f>_xlfn.XLOOKUP(A39,List2_Department!A$2:A$51,List2_Department!B$2:B$51)</f>
        <v>HR</v>
      </c>
      <c r="E39" s="11">
        <f t="shared" si="0"/>
        <v>5</v>
      </c>
      <c r="F39" s="9">
        <f>COUNTIFS(List3_Details!A$2:A$251,'Hoja creada por mi'!A39,List3_Details!C$2:C$251,"Yes")</f>
        <v>3</v>
      </c>
      <c r="G39" s="13">
        <f t="shared" si="1"/>
        <v>0.6</v>
      </c>
      <c r="H39" s="9" t="str">
        <f t="shared" si="2"/>
        <v>Cumplido</v>
      </c>
      <c r="I39" s="13"/>
    </row>
    <row r="40" spans="1:9" ht="15.75">
      <c r="A40" s="5" t="s">
        <v>78</v>
      </c>
      <c r="B40" s="10">
        <v>41257</v>
      </c>
      <c r="C40" s="9" t="str">
        <f>_xlfn.XLOOKUP(A40,List1_ContactInfo!A$2:A$58,List1_ContactInfo!B$2:B$58)</f>
        <v>attendee39@company.com</v>
      </c>
      <c r="D40" s="9" t="str">
        <f>_xlfn.XLOOKUP(A40,List2_Department!A$2:A$51,List2_Department!B$2:B$51)</f>
        <v>IT</v>
      </c>
      <c r="E40" s="11">
        <f t="shared" si="0"/>
        <v>5</v>
      </c>
      <c r="F40" s="9">
        <f>COUNTIFS(List3_Details!A$2:A$251,'Hoja creada por mi'!A40,List3_Details!C$2:C$251,"Yes")</f>
        <v>4</v>
      </c>
      <c r="G40" s="13">
        <f t="shared" si="1"/>
        <v>0.8</v>
      </c>
      <c r="H40" s="9" t="str">
        <f t="shared" si="2"/>
        <v>Cumplido</v>
      </c>
      <c r="I40" s="13"/>
    </row>
    <row r="41" spans="1:9" ht="15.75">
      <c r="A41" s="5" t="s">
        <v>80</v>
      </c>
      <c r="B41" s="10">
        <v>41257</v>
      </c>
      <c r="C41" s="9" t="str">
        <f>_xlfn.XLOOKUP(A41,List1_ContactInfo!A$2:A$58,List1_ContactInfo!B$2:B$58)</f>
        <v>attendee40@company.com</v>
      </c>
      <c r="D41" s="9" t="str">
        <f>_xlfn.XLOOKUP(A41,List2_Department!A$2:A$51,List2_Department!B$2:B$51)</f>
        <v>Finance</v>
      </c>
      <c r="E41" s="11">
        <f t="shared" si="0"/>
        <v>5</v>
      </c>
      <c r="F41" s="9">
        <f>COUNTIFS(List3_Details!A$2:A$251,'Hoja creada por mi'!A41,List3_Details!C$2:C$251,"Yes")</f>
        <v>1</v>
      </c>
      <c r="G41" s="13">
        <f t="shared" si="1"/>
        <v>0.2</v>
      </c>
      <c r="H41" s="9" t="str">
        <f t="shared" si="2"/>
        <v>Incumplido</v>
      </c>
      <c r="I41" s="13"/>
    </row>
    <row r="42" spans="1:9" ht="15.75">
      <c r="A42" s="5" t="s">
        <v>82</v>
      </c>
      <c r="B42" s="10">
        <v>41257</v>
      </c>
      <c r="C42" s="9" t="str">
        <f>_xlfn.XLOOKUP(A42,List1_ContactInfo!A$2:A$58,List1_ContactInfo!B$2:B$58)</f>
        <v>attendee41@company.com</v>
      </c>
      <c r="D42" s="9" t="str">
        <f>_xlfn.XLOOKUP(A42,List2_Department!A$2:A$51,List2_Department!B$2:B$51)</f>
        <v>Marketing</v>
      </c>
      <c r="E42" s="11">
        <f t="shared" si="0"/>
        <v>5</v>
      </c>
      <c r="F42" s="9">
        <f>COUNTIFS(List3_Details!A$2:A$251,'Hoja creada por mi'!A42,List3_Details!C$2:C$251,"Yes")</f>
        <v>4</v>
      </c>
      <c r="G42" s="13">
        <f t="shared" si="1"/>
        <v>0.8</v>
      </c>
      <c r="H42" s="9" t="str">
        <f t="shared" si="2"/>
        <v>Cumplido</v>
      </c>
      <c r="I42" s="13"/>
    </row>
    <row r="43" spans="1:9" ht="15.75">
      <c r="A43" s="5" t="s">
        <v>84</v>
      </c>
      <c r="B43" s="10">
        <v>41257</v>
      </c>
      <c r="C43" s="9" t="str">
        <f>_xlfn.XLOOKUP(A43,List1_ContactInfo!A$2:A$58,List1_ContactInfo!B$2:B$58)</f>
        <v>attendee42@company.com</v>
      </c>
      <c r="D43" s="9" t="str">
        <f>_xlfn.XLOOKUP(A43,List2_Department!A$2:A$51,List2_Department!B$2:B$51)</f>
        <v>Sales</v>
      </c>
      <c r="E43" s="11">
        <f t="shared" si="0"/>
        <v>5</v>
      </c>
      <c r="F43" s="9">
        <f>COUNTIFS(List3_Details!A$2:A$251,'Hoja creada por mi'!A43,List3_Details!C$2:C$251,"Yes")</f>
        <v>1</v>
      </c>
      <c r="G43" s="13">
        <f t="shared" si="1"/>
        <v>0.2</v>
      </c>
      <c r="H43" s="9" t="str">
        <f t="shared" si="2"/>
        <v>Incumplido</v>
      </c>
      <c r="I43" s="13"/>
    </row>
    <row r="44" spans="1:9" ht="15.75">
      <c r="A44" s="5" t="s">
        <v>86</v>
      </c>
      <c r="B44" s="10">
        <v>41257</v>
      </c>
      <c r="C44" s="9" t="str">
        <f>_xlfn.XLOOKUP(A44,List1_ContactInfo!A$2:A$58,List1_ContactInfo!B$2:B$58)</f>
        <v>attendee43@company.com</v>
      </c>
      <c r="D44" s="9" t="str">
        <f>_xlfn.XLOOKUP(A44,List2_Department!A$2:A$51,List2_Department!B$2:B$51)</f>
        <v>HR</v>
      </c>
      <c r="E44" s="11">
        <f t="shared" si="0"/>
        <v>5</v>
      </c>
      <c r="F44" s="9">
        <f>COUNTIFS(List3_Details!A$2:A$251,'Hoja creada por mi'!A44,List3_Details!C$2:C$251,"Yes")</f>
        <v>2</v>
      </c>
      <c r="G44" s="13">
        <f t="shared" si="1"/>
        <v>0.4</v>
      </c>
      <c r="H44" s="9" t="str">
        <f t="shared" si="2"/>
        <v>Incumplido</v>
      </c>
      <c r="I44" s="13"/>
    </row>
    <row r="45" spans="1:9" ht="15.75">
      <c r="A45" s="5" t="s">
        <v>88</v>
      </c>
      <c r="B45" s="10">
        <v>41257</v>
      </c>
      <c r="C45" s="9" t="str">
        <f>_xlfn.XLOOKUP(A45,List1_ContactInfo!A$2:A$58,List1_ContactInfo!B$2:B$58)</f>
        <v>attendee44@company.com</v>
      </c>
      <c r="D45" s="9" t="str">
        <f>_xlfn.XLOOKUP(A45,List2_Department!A$2:A$51,List2_Department!B$2:B$51)</f>
        <v>IT</v>
      </c>
      <c r="E45" s="11">
        <f t="shared" si="0"/>
        <v>5</v>
      </c>
      <c r="F45" s="9">
        <f>COUNTIFS(List3_Details!A$2:A$251,'Hoja creada por mi'!A45,List3_Details!C$2:C$251,"Yes")</f>
        <v>2</v>
      </c>
      <c r="G45" s="13">
        <f t="shared" si="1"/>
        <v>0.4</v>
      </c>
      <c r="H45" s="9" t="str">
        <f t="shared" si="2"/>
        <v>Incumplido</v>
      </c>
      <c r="I45" s="13"/>
    </row>
    <row r="46" spans="1:9" ht="15.75">
      <c r="A46" s="5" t="s">
        <v>90</v>
      </c>
      <c r="B46" s="10">
        <v>41257</v>
      </c>
      <c r="C46" s="9" t="str">
        <f>_xlfn.XLOOKUP(A46,List1_ContactInfo!A$2:A$58,List1_ContactInfo!B$2:B$58)</f>
        <v>attendee45@company.com</v>
      </c>
      <c r="D46" s="9" t="str">
        <f>_xlfn.XLOOKUP(A46,List2_Department!A$2:A$51,List2_Department!B$2:B$51)</f>
        <v>Finance</v>
      </c>
      <c r="E46" s="11">
        <f t="shared" si="0"/>
        <v>5</v>
      </c>
      <c r="F46" s="9">
        <f>COUNTIFS(List3_Details!A$2:A$251,'Hoja creada por mi'!A46,List3_Details!C$2:C$251,"Yes")</f>
        <v>3</v>
      </c>
      <c r="G46" s="13">
        <f t="shared" si="1"/>
        <v>0.6</v>
      </c>
      <c r="H46" s="9" t="str">
        <f t="shared" si="2"/>
        <v>Cumplido</v>
      </c>
      <c r="I46" s="13"/>
    </row>
    <row r="47" spans="1:9" ht="15.75">
      <c r="A47" s="5" t="s">
        <v>92</v>
      </c>
      <c r="B47" s="10">
        <v>41257</v>
      </c>
      <c r="C47" s="9" t="str">
        <f>_xlfn.XLOOKUP(A47,List1_ContactInfo!A$2:A$58,List1_ContactInfo!B$2:B$58)</f>
        <v>attendee46@company.com</v>
      </c>
      <c r="D47" s="9" t="str">
        <f>_xlfn.XLOOKUP(A47,List2_Department!A$2:A$51,List2_Department!B$2:B$51)</f>
        <v>Marketing</v>
      </c>
      <c r="E47" s="11">
        <f t="shared" si="0"/>
        <v>5</v>
      </c>
      <c r="F47" s="9">
        <f>COUNTIFS(List3_Details!A$2:A$251,'Hoja creada por mi'!A47,List3_Details!C$2:C$251,"Yes")</f>
        <v>2</v>
      </c>
      <c r="G47" s="13">
        <f t="shared" si="1"/>
        <v>0.4</v>
      </c>
      <c r="H47" s="9" t="str">
        <f t="shared" si="2"/>
        <v>Incumplido</v>
      </c>
      <c r="I47" s="13"/>
    </row>
    <row r="48" spans="1:9" ht="15.75">
      <c r="A48" s="5" t="s">
        <v>94</v>
      </c>
      <c r="B48" s="10">
        <v>41257</v>
      </c>
      <c r="C48" s="9" t="str">
        <f>_xlfn.XLOOKUP(A48,List1_ContactInfo!A$2:A$58,List1_ContactInfo!B$2:B$58)</f>
        <v>attendee47@company.com</v>
      </c>
      <c r="D48" s="9" t="str">
        <f>_xlfn.XLOOKUP(A48,List2_Department!A$2:A$51,List2_Department!B$2:B$51)</f>
        <v>Sales</v>
      </c>
      <c r="E48" s="11">
        <f t="shared" si="0"/>
        <v>5</v>
      </c>
      <c r="F48" s="9">
        <f>COUNTIFS(List3_Details!A$2:A$251,'Hoja creada por mi'!A48,List3_Details!C$2:C$251,"Yes")</f>
        <v>4</v>
      </c>
      <c r="G48" s="13">
        <f t="shared" si="1"/>
        <v>0.8</v>
      </c>
      <c r="H48" s="9" t="str">
        <f t="shared" si="2"/>
        <v>Cumplido</v>
      </c>
      <c r="I48" s="13"/>
    </row>
    <row r="49" spans="1:9" ht="15.75">
      <c r="A49" s="5" t="s">
        <v>96</v>
      </c>
      <c r="B49" s="10">
        <v>41257</v>
      </c>
      <c r="C49" s="9" t="str">
        <f>_xlfn.XLOOKUP(A49,List1_ContactInfo!A$2:A$58,List1_ContactInfo!B$2:B$58)</f>
        <v>attendee48@company.com</v>
      </c>
      <c r="D49" s="9" t="str">
        <f>_xlfn.XLOOKUP(A49,List2_Department!A$2:A$51,List2_Department!B$2:B$51)</f>
        <v>HR</v>
      </c>
      <c r="E49" s="11">
        <f t="shared" si="0"/>
        <v>5</v>
      </c>
      <c r="F49" s="9">
        <f>COUNTIFS(List3_Details!A$2:A$251,'Hoja creada por mi'!A49,List3_Details!C$2:C$251,"Yes")</f>
        <v>0</v>
      </c>
      <c r="G49" s="13">
        <f t="shared" si="1"/>
        <v>0</v>
      </c>
      <c r="H49" s="9" t="str">
        <f t="shared" si="2"/>
        <v>Incumplido</v>
      </c>
      <c r="I49" s="13"/>
    </row>
    <row r="50" spans="1:9" ht="15.75">
      <c r="A50" s="5" t="s">
        <v>98</v>
      </c>
      <c r="B50" s="10">
        <v>41257</v>
      </c>
      <c r="C50" s="9" t="str">
        <f>_xlfn.XLOOKUP(A50,List1_ContactInfo!A$2:A$58,List1_ContactInfo!B$2:B$58)</f>
        <v>attendee49@company.com</v>
      </c>
      <c r="D50" s="9" t="str">
        <f>_xlfn.XLOOKUP(A50,List2_Department!A$2:A$51,List2_Department!B$2:B$51)</f>
        <v>IT</v>
      </c>
      <c r="E50" s="11">
        <f t="shared" si="0"/>
        <v>5</v>
      </c>
      <c r="F50" s="9">
        <f>COUNTIFS(List3_Details!A$2:A$251,'Hoja creada por mi'!A50,List3_Details!C$2:C$251,"Yes")</f>
        <v>2</v>
      </c>
      <c r="G50" s="13">
        <f t="shared" si="1"/>
        <v>0.4</v>
      </c>
      <c r="H50" s="9" t="str">
        <f t="shared" si="2"/>
        <v>Incumplido</v>
      </c>
      <c r="I50" s="13"/>
    </row>
    <row r="51" spans="1:9" ht="15.75">
      <c r="A51" s="5" t="s">
        <v>100</v>
      </c>
      <c r="B51" s="10">
        <v>41257</v>
      </c>
      <c r="C51" s="9" t="str">
        <f>_xlfn.XLOOKUP(A51,List1_ContactInfo!A$2:A$58,List1_ContactInfo!B$2:B$58)</f>
        <v>attendee50@company.com</v>
      </c>
      <c r="D51" s="9" t="str">
        <f>_xlfn.XLOOKUP(A51,List2_Department!A$2:A$51,List2_Department!B$2:B$51)</f>
        <v>Finance</v>
      </c>
      <c r="E51" s="11">
        <f t="shared" si="0"/>
        <v>5</v>
      </c>
      <c r="F51" s="9">
        <f>COUNTIFS(List3_Details!A$2:A$251,'Hoja creada por mi'!A51,List3_Details!C$2:C$251,"Yes")</f>
        <v>1</v>
      </c>
      <c r="G51" s="13">
        <f t="shared" si="1"/>
        <v>0.2</v>
      </c>
      <c r="H51" s="9" t="str">
        <f t="shared" si="2"/>
        <v>Incumplido</v>
      </c>
      <c r="I51" s="13"/>
    </row>
  </sheetData>
  <conditionalFormatting sqref="A1:A51 A59:A1048576">
    <cfRule type="duplicateValues" dxfId="7" priority="5"/>
  </conditionalFormatting>
  <conditionalFormatting sqref="D2:D51">
    <cfRule type="cellIs" dxfId="6" priority="4" operator="equal">
      <formula>"Marketing"</formula>
    </cfRule>
  </conditionalFormatting>
  <conditionalFormatting sqref="D2:D51">
    <cfRule type="cellIs" dxfId="5" priority="3" operator="equal">
      <formula>"IT"</formula>
    </cfRule>
  </conditionalFormatting>
  <conditionalFormatting sqref="D2:D51">
    <cfRule type="cellIs" dxfId="4" priority="2" operator="equal">
      <formula>"Finance"</formula>
    </cfRule>
  </conditionalFormatting>
  <conditionalFormatting sqref="D2:D51">
    <cfRule type="cellIs" dxfId="3" priority="1" operator="equal">
      <formula>"HR"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7F83-3603-445B-AF7E-13A19F8B1E55}">
  <dimension ref="A3:P7"/>
  <sheetViews>
    <sheetView tabSelected="1" workbookViewId="0">
      <selection activeCell="G18" sqref="G18"/>
    </sheetView>
  </sheetViews>
  <sheetFormatPr defaultRowHeight="15"/>
  <cols>
    <col min="1" max="1" width="28.28515625" bestFit="1" customWidth="1"/>
    <col min="2" max="6" width="8.7109375" bestFit="1" customWidth="1"/>
    <col min="7" max="7" width="12.5703125" bestFit="1" customWidth="1"/>
    <col min="9" max="9" width="22.7109375" bestFit="1" customWidth="1"/>
    <col min="10" max="10" width="9.7109375" bestFit="1" customWidth="1"/>
    <col min="12" max="12" width="22.7109375" bestFit="1" customWidth="1"/>
    <col min="15" max="15" width="12.28515625" bestFit="1" customWidth="1"/>
  </cols>
  <sheetData>
    <row r="3" spans="1:16">
      <c r="A3" s="14" t="s">
        <v>129</v>
      </c>
      <c r="B3" s="14" t="s">
        <v>116</v>
      </c>
      <c r="I3" s="28"/>
      <c r="J3" s="27"/>
      <c r="K3" s="27"/>
      <c r="L3" s="27" t="s">
        <v>130</v>
      </c>
      <c r="M3" s="27"/>
      <c r="N3" s="27"/>
      <c r="O3" s="29"/>
    </row>
    <row r="4" spans="1:16">
      <c r="A4" s="14" t="s">
        <v>117</v>
      </c>
      <c r="B4" s="15">
        <v>45474</v>
      </c>
      <c r="C4" s="15">
        <v>45475</v>
      </c>
      <c r="D4" s="15">
        <v>45476</v>
      </c>
      <c r="E4" s="15">
        <v>45477</v>
      </c>
      <c r="F4" s="15">
        <v>45478</v>
      </c>
      <c r="G4" s="15" t="s">
        <v>131</v>
      </c>
      <c r="I4" s="20" t="s">
        <v>132</v>
      </c>
      <c r="J4" s="21">
        <f>B4</f>
        <v>45474</v>
      </c>
      <c r="K4" s="18">
        <f t="shared" ref="K4:O4" si="0">C4</f>
        <v>45475</v>
      </c>
      <c r="L4" s="23">
        <f t="shared" si="0"/>
        <v>45476</v>
      </c>
      <c r="M4" s="18">
        <f t="shared" si="0"/>
        <v>45477</v>
      </c>
      <c r="N4" s="18">
        <f t="shared" si="0"/>
        <v>45478</v>
      </c>
      <c r="O4" s="18" t="str">
        <f t="shared" si="0"/>
        <v>Total general</v>
      </c>
    </row>
    <row r="5" spans="1:16">
      <c r="A5" t="s">
        <v>120</v>
      </c>
      <c r="B5" s="16">
        <v>25</v>
      </c>
      <c r="C5" s="16">
        <v>25</v>
      </c>
      <c r="D5" s="16">
        <v>26</v>
      </c>
      <c r="E5" s="16">
        <v>20</v>
      </c>
      <c r="F5" s="16">
        <v>27</v>
      </c>
      <c r="G5" s="16">
        <v>123</v>
      </c>
      <c r="I5" s="20" t="s">
        <v>133</v>
      </c>
      <c r="J5" s="22">
        <f>B6/(B6+B5)</f>
        <v>0.5</v>
      </c>
      <c r="K5" s="19">
        <f t="shared" ref="K5:P5" si="1">C6/(C6+C5)</f>
        <v>0.5</v>
      </c>
      <c r="L5" s="24">
        <f t="shared" si="1"/>
        <v>0.48</v>
      </c>
      <c r="M5" s="25">
        <f t="shared" si="1"/>
        <v>0.6</v>
      </c>
      <c r="N5" s="26">
        <f t="shared" si="1"/>
        <v>0.46</v>
      </c>
      <c r="O5" s="19">
        <f t="shared" si="1"/>
        <v>0.50800000000000001</v>
      </c>
      <c r="P5" s="17"/>
    </row>
    <row r="6" spans="1:16">
      <c r="A6" t="s">
        <v>119</v>
      </c>
      <c r="B6" s="16">
        <v>25</v>
      </c>
      <c r="C6" s="16">
        <v>25</v>
      </c>
      <c r="D6" s="16">
        <v>24</v>
      </c>
      <c r="E6" s="16">
        <v>30</v>
      </c>
      <c r="F6" s="16">
        <v>23</v>
      </c>
      <c r="G6" s="16">
        <v>127</v>
      </c>
    </row>
    <row r="7" spans="1:16">
      <c r="A7" t="s">
        <v>131</v>
      </c>
      <c r="B7" s="16">
        <v>50</v>
      </c>
      <c r="C7" s="16">
        <v>50</v>
      </c>
      <c r="D7" s="16">
        <v>50</v>
      </c>
      <c r="E7" s="16">
        <v>50</v>
      </c>
      <c r="F7" s="16">
        <v>50</v>
      </c>
      <c r="G7" s="16">
        <v>250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2024-10-06T13:38:35Z</dcterms:created>
  <dcterms:modified xsi:type="dcterms:W3CDTF">2026-01-07T11:36:17Z</dcterms:modified>
  <cp:category/>
  <cp:contentStatus/>
</cp:coreProperties>
</file>