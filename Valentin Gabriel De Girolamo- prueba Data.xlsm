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6" codeName="{00000000-0000-0000-0000-000000000000}"/>
  <workbookPr codeName="ThisWorkbook"/>
  <mc:AlternateContent xmlns:mc="http://schemas.openxmlformats.org/markup-compatibility/2006">
    <mc:Choice Requires="x15">
      <x15ac:absPath xmlns:x15ac="http://schemas.microsoft.com/office/spreadsheetml/2010/11/ac" url="https://proinsurancesolution-my.sharepoint.com/personal/lorena_bonilla_pro-global_com/Documents/Escritorio/"/>
    </mc:Choice>
  </mc:AlternateContent>
  <xr:revisionPtr revIDLastSave="0" documentId="8_{7802298C-B5B6-431A-B5F6-E472DBBEAD59}" xr6:coauthVersionLast="47" xr6:coauthVersionMax="47" xr10:uidLastSave="{00000000-0000-0000-0000-000000000000}"/>
  <bookViews>
    <workbookView xWindow="-108" yWindow="-108" windowWidth="23256" windowHeight="12456" activeTab="1" xr2:uid="{FFDA5A33-91DE-48E4-B440-EBD187457060}"/>
  </bookViews>
  <sheets>
    <sheet name="Instrucciones" sheetId="2" r:id="rId1"/>
    <sheet name="Datos" sheetId="1" r:id="rId2"/>
    <sheet name="Resumen" sheetId="3" r:id="rId3"/>
    <sheet name="Marking" sheetId="6" state="veryHidden" r:id="rId4"/>
    <sheet name="Results &amp; Timings" sheetId="5" state="veryHidden" r:id="rId5"/>
  </sheets>
  <definedNames>
    <definedName name="_xlnm._FilterDatabase" localSheetId="1" hidden="1">Datos!$A$4:$O$52</definedName>
    <definedName name="_xlnm._FilterDatabase" localSheetId="3" hidden="1">Marking!$A$4:$M$52</definedName>
    <definedName name="_xleta.NOW" hidden="1" xlm="1">#NAME?</definedName>
    <definedName name="_xleta.SHEET" hidden="1" xlm="1">#NAME?</definedName>
  </definedNames>
  <calcPr calcId="191028"/>
  <pivotCaches>
    <pivotCache cacheId="5254"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6" i="1" l="1"/>
  <c r="N47" i="1"/>
  <c r="L49" i="1"/>
  <c r="N48" i="1"/>
  <c r="N49" i="1"/>
  <c r="N12"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 i="1"/>
  <c r="E5"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6" i="1"/>
  <c r="E7" i="1"/>
  <c r="E8" i="1"/>
  <c r="E9" i="1"/>
  <c r="E10" i="1"/>
  <c r="E11"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 i="1"/>
  <c r="N5" i="1"/>
  <c r="N6" i="1"/>
  <c r="N7" i="1"/>
  <c r="N8" i="1"/>
  <c r="N9" i="1"/>
  <c r="N10" i="1"/>
  <c r="N11"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3" i="1"/>
  <c r="N44" i="1"/>
  <c r="N45" i="1"/>
  <c r="N50" i="1"/>
  <c r="N51" i="1"/>
  <c r="N42"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3" i="1"/>
  <c r="L44" i="1"/>
  <c r="L45" i="1"/>
  <c r="L46" i="1"/>
  <c r="L47" i="1"/>
  <c r="L48" i="1"/>
  <c r="L50" i="1"/>
  <c r="L51" i="1"/>
  <c r="L42"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 i="1"/>
  <c r="E13" i="5"/>
  <c r="G2" i="5" l="1"/>
  <c r="F14" i="5" l="1"/>
  <c r="E15" i="5"/>
  <c r="L8" i="5"/>
  <c r="F8" i="5" s="1"/>
  <c r="L7" i="5"/>
  <c r="L6" i="5"/>
  <c r="L5" i="5"/>
  <c r="L4" i="5"/>
  <c r="L3" i="5"/>
  <c r="L2" i="5"/>
  <c r="H9" i="5"/>
  <c r="D9" i="5"/>
  <c r="C8" i="5"/>
  <c r="E8" i="5" s="1"/>
  <c r="C7" i="5"/>
  <c r="E7" i="5" s="1"/>
  <c r="C6" i="5"/>
  <c r="E6" i="5" s="1"/>
  <c r="C5" i="5"/>
  <c r="E5" i="5" s="1"/>
  <c r="C4" i="5"/>
  <c r="E4" i="5" s="1"/>
  <c r="C3" i="5"/>
  <c r="F3" i="5" l="1"/>
  <c r="I4" i="5"/>
  <c r="F4" i="5"/>
  <c r="F5" i="5"/>
  <c r="F6" i="5"/>
  <c r="I7" i="5"/>
  <c r="K7" i="5"/>
  <c r="F7" i="5"/>
  <c r="C9" i="5"/>
  <c r="E9" i="5" s="1"/>
  <c r="K8" i="5"/>
  <c r="E3" i="5"/>
  <c r="F9" i="5"/>
  <c r="R6" i="6"/>
  <c r="R7" i="6"/>
  <c r="R8" i="6"/>
  <c r="R9" i="6"/>
  <c r="R10"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R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 i="6"/>
  <c r="G3" i="5" s="1"/>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 i="6"/>
  <c r="J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N52" i="1"/>
  <c r="L52" i="1"/>
  <c r="K50" i="1"/>
  <c r="O50" i="1" s="1"/>
  <c r="K48" i="1"/>
  <c r="O48" i="1" s="1"/>
  <c r="K46" i="1"/>
  <c r="O46" i="1" s="1"/>
  <c r="K44" i="1"/>
  <c r="O44" i="1" s="1"/>
  <c r="K42" i="1"/>
  <c r="O42" i="1" s="1"/>
  <c r="K40" i="1"/>
  <c r="O40" i="1" s="1"/>
  <c r="K38" i="1"/>
  <c r="O38" i="1" s="1"/>
  <c r="K34" i="1"/>
  <c r="O34" i="1" s="1"/>
  <c r="K32" i="1"/>
  <c r="O32" i="1" s="1"/>
  <c r="K30" i="1"/>
  <c r="O30" i="1" s="1"/>
  <c r="K29" i="1"/>
  <c r="O29" i="1" s="1"/>
  <c r="S29" i="6" s="1"/>
  <c r="K26" i="1"/>
  <c r="O26" i="1" s="1"/>
  <c r="K25" i="1"/>
  <c r="O25" i="1" s="1"/>
  <c r="K24" i="1"/>
  <c r="O24" i="1" s="1"/>
  <c r="K22" i="1"/>
  <c r="O22" i="1" s="1"/>
  <c r="K21" i="1"/>
  <c r="O21" i="1" s="1"/>
  <c r="K18" i="1"/>
  <c r="O18" i="1" s="1"/>
  <c r="K17" i="1"/>
  <c r="O17" i="1" s="1"/>
  <c r="S17" i="6" s="1"/>
  <c r="K14" i="1"/>
  <c r="O14" i="1" s="1"/>
  <c r="K10" i="1"/>
  <c r="O10" i="1" s="1"/>
  <c r="S50" i="6" l="1"/>
  <c r="S48" i="6"/>
  <c r="S46" i="6"/>
  <c r="S44" i="6"/>
  <c r="S42" i="6"/>
  <c r="S40" i="6"/>
  <c r="S38" i="6"/>
  <c r="S34" i="6"/>
  <c r="S32" i="6"/>
  <c r="S30" i="6"/>
  <c r="S26" i="6"/>
  <c r="S25" i="6"/>
  <c r="S24" i="6"/>
  <c r="S22" i="6"/>
  <c r="S21" i="6"/>
  <c r="S18" i="6"/>
  <c r="S14" i="6"/>
  <c r="S10" i="6"/>
  <c r="I3" i="5"/>
  <c r="K3" i="5"/>
  <c r="G6" i="5"/>
  <c r="G5" i="5"/>
  <c r="G4" i="5"/>
  <c r="B13" i="5"/>
  <c r="B15" i="5" s="1"/>
  <c r="M52" i="6"/>
  <c r="L52" i="6"/>
  <c r="K33" i="1"/>
  <c r="O33" i="1" s="1"/>
  <c r="S33" i="6" s="1"/>
  <c r="K37" i="1"/>
  <c r="O37" i="1" s="1"/>
  <c r="S37" i="6" s="1"/>
  <c r="K41" i="1"/>
  <c r="O41" i="1" s="1"/>
  <c r="S41" i="6" s="1"/>
  <c r="K45" i="1"/>
  <c r="O45" i="1" s="1"/>
  <c r="S45" i="6" s="1"/>
  <c r="K36" i="1"/>
  <c r="O36" i="1" s="1"/>
  <c r="S36" i="6" s="1"/>
  <c r="K11" i="1"/>
  <c r="O11" i="1" s="1"/>
  <c r="S11" i="6" s="1"/>
  <c r="K15" i="1"/>
  <c r="O15" i="1" s="1"/>
  <c r="S15" i="6" s="1"/>
  <c r="K19" i="1"/>
  <c r="O19" i="1" s="1"/>
  <c r="S19" i="6" s="1"/>
  <c r="K49" i="1"/>
  <c r="O49" i="1" s="1"/>
  <c r="S49" i="6" s="1"/>
  <c r="K13" i="1"/>
  <c r="O13" i="1" s="1"/>
  <c r="S13" i="6" s="1"/>
  <c r="K28" i="1"/>
  <c r="O28" i="1" s="1"/>
  <c r="S28" i="6" s="1"/>
  <c r="K12" i="1"/>
  <c r="O12" i="1" s="1"/>
  <c r="S12" i="6" s="1"/>
  <c r="K16" i="1"/>
  <c r="O16" i="1" s="1"/>
  <c r="S16" i="6" s="1"/>
  <c r="K20" i="1"/>
  <c r="O20" i="1" s="1"/>
  <c r="S20" i="6" s="1"/>
  <c r="K23" i="1"/>
  <c r="O23" i="1" s="1"/>
  <c r="S23" i="6" s="1"/>
  <c r="K27" i="1"/>
  <c r="O27" i="1" s="1"/>
  <c r="S27" i="6" s="1"/>
  <c r="K31" i="1"/>
  <c r="O31" i="1" s="1"/>
  <c r="S31" i="6" s="1"/>
  <c r="K35" i="1"/>
  <c r="O35" i="1" s="1"/>
  <c r="S35" i="6" s="1"/>
  <c r="K39" i="1"/>
  <c r="O39" i="1" s="1"/>
  <c r="S39" i="6" s="1"/>
  <c r="K43" i="1"/>
  <c r="O43" i="1" s="1"/>
  <c r="S43" i="6" s="1"/>
  <c r="K47" i="1"/>
  <c r="O47" i="1" s="1"/>
  <c r="S47" i="6" s="1"/>
  <c r="K51" i="1"/>
  <c r="O51" i="1" s="1"/>
  <c r="S51" i="6" s="1"/>
  <c r="I5" i="5" l="1"/>
  <c r="K5" i="5"/>
  <c r="I6" i="5"/>
  <c r="K6" i="5"/>
  <c r="K9" i="5" s="1"/>
  <c r="D13" i="5" s="1"/>
  <c r="D15" i="5" s="1"/>
  <c r="I9" i="5"/>
  <c r="C13" i="5" s="1"/>
  <c r="K9" i="1"/>
  <c r="O9" i="1" s="1"/>
  <c r="S9" i="6" s="1"/>
  <c r="K7" i="1"/>
  <c r="O7" i="1" s="1"/>
  <c r="S7" i="6" s="1"/>
  <c r="K8" i="1"/>
  <c r="O8" i="1" s="1"/>
  <c r="S8" i="6" s="1"/>
  <c r="K6" i="1"/>
  <c r="O6" i="1" s="1"/>
  <c r="S6" i="6" s="1"/>
  <c r="K5" i="1"/>
  <c r="O5" i="1" s="1"/>
  <c r="C15" i="5" l="1"/>
  <c r="F13" i="5"/>
  <c r="F15" i="5" s="1"/>
  <c r="O52" i="1"/>
  <c r="S5" i="6"/>
  <c r="G7" i="5" s="1"/>
  <c r="G9" i="5" s="1"/>
</calcChain>
</file>

<file path=xl/sharedStrings.xml><?xml version="1.0" encoding="utf-8"?>
<sst xmlns="http://schemas.openxmlformats.org/spreadsheetml/2006/main" count="439" uniqueCount="232">
  <si>
    <t>Technical Assistant - Data &amp; Analytics</t>
  </si>
  <si>
    <t>Nombre:</t>
  </si>
  <si>
    <t>De Girolamo Valentin Gabriel</t>
  </si>
  <si>
    <t>Tarea No</t>
  </si>
  <si>
    <t>Nombre de la Tarea</t>
  </si>
  <si>
    <t>Tarea Completada</t>
  </si>
  <si>
    <t>Fecha:</t>
  </si>
  <si>
    <t>Ejercicio Iniciado</t>
  </si>
  <si>
    <t>Yes</t>
  </si>
  <si>
    <t>Nombre del Grupo de Ubicación Completo</t>
  </si>
  <si>
    <t>Depuración de Dirección Completa</t>
  </si>
  <si>
    <t xml:space="preserve"> </t>
  </si>
  <si>
    <t>Suma de Valores 1 y 2 Completa</t>
  </si>
  <si>
    <t>Valor 3 Ajustado a 12 Meses Completo</t>
  </si>
  <si>
    <t>Valor 4 (Prorrateado) Completo</t>
  </si>
  <si>
    <t>Resumen de Datos Completo</t>
  </si>
  <si>
    <t>Instrucciones</t>
  </si>
  <si>
    <t>Por favor guarde el archivo localmente antes de continuar y asegúrese de que las macros estén habilitadas.</t>
  </si>
  <si>
    <t>Complete cada tarea en orden cronológico.</t>
  </si>
  <si>
    <t>Si no puede completar una tarea establezca "Unable To Complete".</t>
  </si>
  <si>
    <t>Las tareas 1-6 deben completarse en la hoja 'Datos'.</t>
  </si>
  <si>
    <t>La tarea 7 debe completarse en la hoja 'Resumen'.</t>
  </si>
  <si>
    <t>Asegúrese de que las fórmulas utilizadas se mantengan para su revisión.</t>
  </si>
  <si>
    <t>Tarea 1</t>
  </si>
  <si>
    <t>Introduce tu nombre y la fecha en los campos de arriba. Cambia la opción "Tarea Completada" en la celda F1 a "Yes".</t>
  </si>
  <si>
    <t>Tarea 2</t>
  </si>
  <si>
    <t>Utilizando la tabla a continuación, complete la columna "B" de la hoja de cálculo "Datos" con el "Nombre del grupo de ubicación" según el "Número de grupo de ubicación". No olvide marcar la tarea como completada posteriormente.</t>
  </si>
  <si>
    <t>Número de grupo de ubicación</t>
  </si>
  <si>
    <t>Nombre de grupo de ubicación</t>
  </si>
  <si>
    <t>Earthquake</t>
  </si>
  <si>
    <t>Windstorm</t>
  </si>
  <si>
    <t>Flood</t>
  </si>
  <si>
    <t>Hail</t>
  </si>
  <si>
    <t>Fire</t>
  </si>
  <si>
    <t>Other</t>
  </si>
  <si>
    <t>Tarea 3</t>
  </si>
  <si>
    <t>En la hoja de cálculo 'Datos', actualice la información de la dirección según las instrucciones que aparecen a continuación e introdúzcala en la columna 'Dirección depurada'.</t>
  </si>
  <si>
    <t>Por favor, elimine toda la puntuación; vea los caracteres de ejemplo a continuación.</t>
  </si>
  <si>
    <t>.</t>
  </si>
  <si>
    <t>-</t>
  </si>
  <si>
    <t>,</t>
  </si>
  <si>
    <t>#</t>
  </si>
  <si>
    <t>&amp;</t>
  </si>
  <si>
    <t>@</t>
  </si>
  <si>
    <t>Por favor, actualice los números de calle que formen parte de un rango, de modo que solo se incluya el primer número. A continuación se muestra un ejemplo.</t>
  </si>
  <si>
    <t>Dirección</t>
  </si>
  <si>
    <t>Dirección Depurada</t>
  </si>
  <si>
    <t>43-49 Brown St.</t>
  </si>
  <si>
    <t>43 Brown St</t>
  </si>
  <si>
    <t>Elimine cualquier referencia a Unidades o Suites y cualquier numeración posterior de dichas unidades o suites. A continuación se muestra un ejemplo.</t>
  </si>
  <si>
    <t>89 Brown Avenue Unit 2</t>
  </si>
  <si>
    <t>89 Brown Avenue</t>
  </si>
  <si>
    <t>Tarea 4</t>
  </si>
  <si>
    <t>En la hoja de cálculo 'Datos', sume los valores de los campos 'Valor 1' y 'Valor 2' en la columna 'Suma valores 1 y 2'.</t>
  </si>
  <si>
    <t>Tarea 5</t>
  </si>
  <si>
    <t>En la hoja de cálculo 'Datos', ajuste el importe del 'Valor 3' a un valor de 12 meses e introduzca en la columna 'Valor 3 ajustado a 12 meses'.</t>
  </si>
  <si>
    <t>El importe en meses del 'Valor 3' se indica en el campo 'Período aplicable del Valor 3 (Meses)'.</t>
  </si>
  <si>
    <t>Tarea 6</t>
  </si>
  <si>
    <t>Por favor, prorratee el importe del "Valor 4" que aparece a continuación entre todas las filas de la tabla e introdúzcalo en la columna "Valor 4 (Prorrateado)". Asegúrese de utilizar el campo "Importe total" como base para el prorrateo.</t>
  </si>
  <si>
    <t>** Prorrateo se refiere al proceso de distribuir o asignar algo de manera justa en función de una parte proporcional.</t>
  </si>
  <si>
    <t>Valor 4</t>
  </si>
  <si>
    <t>Utilice el siguiente espacio para cualquier comentario adicional sobre esta tarea.</t>
  </si>
  <si>
    <t>Tarea 7</t>
  </si>
  <si>
    <t>En la hoja de cálculo "Resumen", proporcione un resumen de los datos por "Número de grupo de ubicación" y sume todas las columnas de valores para cada uno.</t>
  </si>
  <si>
    <t>Quitar pio</t>
  </si>
  <si>
    <t>Quitar rango</t>
  </si>
  <si>
    <t>Dirección depurada</t>
  </si>
  <si>
    <t>Item</t>
  </si>
  <si>
    <t>Valor 1</t>
  </si>
  <si>
    <t>Valor 2</t>
  </si>
  <si>
    <t>Valor 3</t>
  </si>
  <si>
    <t>Importe Total</t>
  </si>
  <si>
    <t>Suma Valores 1&amp;2</t>
  </si>
  <si>
    <t>Período aplicable del Valor 3 (Meses)</t>
  </si>
  <si>
    <t>Valor 3 ajustado a 12 meses</t>
  </si>
  <si>
    <t>Valor 4 (Prorrateo)</t>
  </si>
  <si>
    <t>185 Pink Avenue</t>
  </si>
  <si>
    <t xml:space="preserve">West Lean To </t>
  </si>
  <si>
    <t>156 Brown St.</t>
  </si>
  <si>
    <t xml:space="preserve">Primer Building </t>
  </si>
  <si>
    <t>16 Green Blvd</t>
  </si>
  <si>
    <t xml:space="preserve">North Lean To </t>
  </si>
  <si>
    <t>195 Black Crescent</t>
  </si>
  <si>
    <t xml:space="preserve">Main Manufacturing Building </t>
  </si>
  <si>
    <t>34 Yellow Ave Unit 4</t>
  </si>
  <si>
    <t xml:space="preserve">2nd Manufacturing Building </t>
  </si>
  <si>
    <t>#216 Pink Blvd</t>
  </si>
  <si>
    <t>Treating Plant</t>
  </si>
  <si>
    <t>12-20 Black Way</t>
  </si>
  <si>
    <t xml:space="preserve">Stacker Building </t>
  </si>
  <si>
    <t>222 Purple Hill</t>
  </si>
  <si>
    <t>Dome 11</t>
  </si>
  <si>
    <t>97 Blue Crescent</t>
  </si>
  <si>
    <t xml:space="preserve">Far East Lean To </t>
  </si>
  <si>
    <t>245 Yellow Ave</t>
  </si>
  <si>
    <t>Dome 12</t>
  </si>
  <si>
    <t>180 Pink St Suite 4</t>
  </si>
  <si>
    <t>Cold Storage for Lumber Dome 13</t>
  </si>
  <si>
    <t>115 Purple Street</t>
  </si>
  <si>
    <t>Dowler Building</t>
  </si>
  <si>
    <t>38 Blue Way Unit 3</t>
  </si>
  <si>
    <t>Post Processing Building Sawmill</t>
  </si>
  <si>
    <t>250 Pink Blvd</t>
  </si>
  <si>
    <t>Dry Kiln</t>
  </si>
  <si>
    <t>132-136 Orange Road</t>
  </si>
  <si>
    <t>Dry Storage Building Dome 14</t>
  </si>
  <si>
    <t>182 Black Way</t>
  </si>
  <si>
    <t xml:space="preserve">Office Breakroom </t>
  </si>
  <si>
    <t>210 Blue Crescent</t>
  </si>
  <si>
    <t>Shop Pole Barn Storage Old Repair Shop</t>
  </si>
  <si>
    <t>213 Black Crescent</t>
  </si>
  <si>
    <t>Hoop BuildingDome</t>
  </si>
  <si>
    <t>51 Blue Street Unit 3</t>
  </si>
  <si>
    <t>Merch BuildingIncludes Installed Equip</t>
  </si>
  <si>
    <t>227 Yellow Way Unit 3</t>
  </si>
  <si>
    <t>TW Shop Building</t>
  </si>
  <si>
    <t>215 Yellow Ave</t>
  </si>
  <si>
    <t>Warehouse New Repair Shop</t>
  </si>
  <si>
    <t>14 Brown Crescent Unit 9</t>
  </si>
  <si>
    <t xml:space="preserve">Manufacturing Plant Chip Building </t>
  </si>
  <si>
    <t>177 Blue Ave Unit 8</t>
  </si>
  <si>
    <t>Hoop Building Dome 5</t>
  </si>
  <si>
    <t>61 Brown Way</t>
  </si>
  <si>
    <t>Bin</t>
  </si>
  <si>
    <t>71-80 Purple Blvd</t>
  </si>
  <si>
    <t>Office</t>
  </si>
  <si>
    <t>86 Orange Avenue</t>
  </si>
  <si>
    <t>Maintenance Shop</t>
  </si>
  <si>
    <t>202 Brown Crescent</t>
  </si>
  <si>
    <t>Freezer 8</t>
  </si>
  <si>
    <t>#69 Purple Crescent</t>
  </si>
  <si>
    <t>Offices Batteries zone</t>
  </si>
  <si>
    <t>92 Blue Street</t>
  </si>
  <si>
    <t>Warehouse</t>
  </si>
  <si>
    <t>185 White Crescent Suite 6</t>
  </si>
  <si>
    <t>CP2 Production Line</t>
  </si>
  <si>
    <t>29 Brown Crescent</t>
  </si>
  <si>
    <t>Waste Water Treating Facility</t>
  </si>
  <si>
    <t>248 Brown Blvd</t>
  </si>
  <si>
    <t>Old part of building</t>
  </si>
  <si>
    <t>247 Pink Road</t>
  </si>
  <si>
    <t>Office equipment</t>
  </si>
  <si>
    <t>22 Blue Avenue</t>
  </si>
  <si>
    <t>EDPStLinLaurentides</t>
  </si>
  <si>
    <t>234 Yellow Way</t>
  </si>
  <si>
    <t>EDPBoisDesFilion</t>
  </si>
  <si>
    <t>12-13 White Way</t>
  </si>
  <si>
    <t>EDPCologix Montreal, Qc</t>
  </si>
  <si>
    <t>Lift trucks</t>
  </si>
  <si>
    <t>203 Blue Road</t>
  </si>
  <si>
    <t>CP2 Production Line Equipment</t>
  </si>
  <si>
    <t>28 Orange Road</t>
  </si>
  <si>
    <t>Repackaging Equipment</t>
  </si>
  <si>
    <t>Maintenance shop Equipment</t>
  </si>
  <si>
    <t>228 Pink Avenue</t>
  </si>
  <si>
    <t>Experimental Kitchen &amp; Lab Equipment</t>
  </si>
  <si>
    <t>141 Yellow Blvd</t>
  </si>
  <si>
    <t>Various Equipment</t>
  </si>
  <si>
    <t>81 Blue Street</t>
  </si>
  <si>
    <t>Waste Water Treating Facility Equipment</t>
  </si>
  <si>
    <t>38 Blue Crescent</t>
  </si>
  <si>
    <t>Stock Finished goods</t>
  </si>
  <si>
    <t>133 Orange Crescent</t>
  </si>
  <si>
    <t>Profits</t>
  </si>
  <si>
    <t>10 Black Avenue</t>
  </si>
  <si>
    <t>Auditors Fees</t>
  </si>
  <si>
    <t>36 White Road</t>
  </si>
  <si>
    <t>Extra Expense</t>
  </si>
  <si>
    <t>Total</t>
  </si>
  <si>
    <t>Resumen</t>
  </si>
  <si>
    <t>Apariciones</t>
  </si>
  <si>
    <t>Suma de Importe Total</t>
  </si>
  <si>
    <t>Suma de Valor 1</t>
  </si>
  <si>
    <t>Suma de Valor 2</t>
  </si>
  <si>
    <t>Suma de Valor 3</t>
  </si>
  <si>
    <t>Suma de Valor 4 (Prorrateo)</t>
  </si>
  <si>
    <t>Total general</t>
  </si>
  <si>
    <t>Exposure Management Data Exercise - Data Set</t>
  </si>
  <si>
    <t>Location Group Number</t>
  </si>
  <si>
    <t>Location Group Name</t>
  </si>
  <si>
    <t>Address</t>
  </si>
  <si>
    <t>Cleansed Address</t>
  </si>
  <si>
    <t>Value 1</t>
  </si>
  <si>
    <t>Value 2</t>
  </si>
  <si>
    <t>Value 3</t>
  </si>
  <si>
    <t>Total Amount</t>
  </si>
  <si>
    <t>Sum of Values 1&amp;2</t>
  </si>
  <si>
    <t>Value 3 Applicable Period (Months)</t>
  </si>
  <si>
    <t>Value 3 Adjusted to 12 Months</t>
  </si>
  <si>
    <t>Value 4 (Pro Rata)</t>
  </si>
  <si>
    <t>Task 2</t>
  </si>
  <si>
    <t>Task 3</t>
  </si>
  <si>
    <t>Task 4</t>
  </si>
  <si>
    <t>Task 5</t>
  </si>
  <si>
    <t>Task 6</t>
  </si>
  <si>
    <t>156 Brown St</t>
  </si>
  <si>
    <t>34 Yellow Ave</t>
  </si>
  <si>
    <t>216 Pink Blvd</t>
  </si>
  <si>
    <t>12 Black Way</t>
  </si>
  <si>
    <t>180 Pink St</t>
  </si>
  <si>
    <t>38 Blue Way</t>
  </si>
  <si>
    <t>132 Orange Road</t>
  </si>
  <si>
    <t>51 Blue Street</t>
  </si>
  <si>
    <t>227 Yellow Way</t>
  </si>
  <si>
    <t>14 Brown Crescent</t>
  </si>
  <si>
    <t>177 Blue Ave</t>
  </si>
  <si>
    <t>71 Purple Blvd</t>
  </si>
  <si>
    <t>69 Purple Crescent</t>
  </si>
  <si>
    <t>185 White Crescent</t>
  </si>
  <si>
    <t>12 White Way</t>
  </si>
  <si>
    <t>Completed Times</t>
  </si>
  <si>
    <t>Time Taken</t>
  </si>
  <si>
    <t>Baseline</t>
  </si>
  <si>
    <t>% vs Baseline</t>
  </si>
  <si>
    <t>Time Score</t>
  </si>
  <si>
    <t>Accuracy</t>
  </si>
  <si>
    <t>Accuracy Baseline</t>
  </si>
  <si>
    <t>Accuracy Score</t>
  </si>
  <si>
    <t>Formula/Pivot Used</t>
  </si>
  <si>
    <t>Formula/Pivot Score</t>
  </si>
  <si>
    <t>Task Completed</t>
  </si>
  <si>
    <t>Task 1</t>
  </si>
  <si>
    <t>NA</t>
  </si>
  <si>
    <t>Task 7</t>
  </si>
  <si>
    <t>Time</t>
  </si>
  <si>
    <t>Technical</t>
  </si>
  <si>
    <t>Error Spotted</t>
  </si>
  <si>
    <t>Total Score</t>
  </si>
  <si>
    <t>Did they identify the Total Value Error</t>
  </si>
  <si>
    <t>Score</t>
  </si>
  <si>
    <t>Out of</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</si>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</sst>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F400]h:mm:ss\ AM/PM"/>
  </numFmts>
  <fonts count="6">
    <font>
      <sz val="11"/>
      <color theme="1"/>
      <name val="Arial"/>
      <family val="2"/>
    </font>
    <font>
      <sz val="11"/>
      <color theme="1"/>
      <name val="Arial"/>
      <family val="2"/>
    </font>
    <font>
      <b/>
      <sz val="11"/>
      <color theme="1"/>
      <name val="Arial"/>
      <family val="2"/>
    </font>
    <font>
      <b/>
      <u/>
      <sz val="11"/>
      <color theme="1"/>
      <name val="Arial"/>
      <family val="2"/>
    </font>
    <font>
      <sz val="8"/>
      <name val="Arial"/>
      <family val="2"/>
    </font>
    <font>
      <sz val="11"/>
      <color rgb="FF000000"/>
      <name val="Arial"/>
      <charset val="1"/>
    </font>
  </fonts>
  <fills count="5">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5"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0" fontId="2" fillId="0" borderId="0" xfId="0" applyFont="1"/>
    <xf numFmtId="0" fontId="0" fillId="0" borderId="0" xfId="0" applyAlignment="1">
      <alignment vertical="center" wrapText="1"/>
    </xf>
    <xf numFmtId="3" fontId="0" fillId="0" borderId="0" xfId="0" applyNumberFormat="1" applyAlignment="1">
      <alignment vertical="center" wrapText="1"/>
    </xf>
    <xf numFmtId="0" fontId="2" fillId="0" borderId="1" xfId="0" applyFont="1" applyBorder="1" applyAlignment="1">
      <alignment horizontal="center" vertical="center" wrapText="1"/>
    </xf>
    <xf numFmtId="0" fontId="0" fillId="0" borderId="0" xfId="0" applyAlignment="1">
      <alignment horizontal="center"/>
    </xf>
    <xf numFmtId="0" fontId="2" fillId="2" borderId="1" xfId="0" applyFont="1" applyFill="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2" fillId="3" borderId="1" xfId="0" applyFont="1" applyFill="1" applyBorder="1" applyAlignment="1">
      <alignment horizontal="center" vertical="center" wrapText="1"/>
    </xf>
    <xf numFmtId="0" fontId="2" fillId="0" borderId="1" xfId="0" applyFont="1" applyBorder="1"/>
    <xf numFmtId="0" fontId="2" fillId="0" borderId="1" xfId="0" applyFont="1" applyBorder="1" applyAlignment="1">
      <alignment horizontal="center"/>
    </xf>
    <xf numFmtId="164" fontId="0" fillId="0" borderId="1" xfId="1" applyNumberFormat="1" applyFont="1" applyBorder="1"/>
    <xf numFmtId="3" fontId="2" fillId="0" borderId="1" xfId="0" applyNumberFormat="1" applyFont="1" applyBorder="1"/>
    <xf numFmtId="0" fontId="0" fillId="4" borderId="1" xfId="0" applyFill="1" applyBorder="1" applyAlignment="1">
      <alignment horizontal="center"/>
    </xf>
    <xf numFmtId="14" fontId="0" fillId="4" borderId="1" xfId="0" applyNumberFormat="1" applyFill="1" applyBorder="1" applyAlignment="1">
      <alignment horizontal="center"/>
    </xf>
    <xf numFmtId="0" fontId="2" fillId="4" borderId="1" xfId="0" applyFont="1" applyFill="1" applyBorder="1" applyAlignment="1">
      <alignment horizontal="center"/>
    </xf>
    <xf numFmtId="0" fontId="3" fillId="0" borderId="0" xfId="0" applyFont="1" applyAlignment="1">
      <alignment horizontal="left"/>
    </xf>
    <xf numFmtId="0" fontId="3" fillId="0" borderId="0" xfId="0" applyFont="1"/>
    <xf numFmtId="3" fontId="0" fillId="0" borderId="0" xfId="0" applyNumberFormat="1"/>
    <xf numFmtId="4" fontId="0" fillId="0" borderId="0" xfId="0" applyNumberFormat="1"/>
    <xf numFmtId="0" fontId="2" fillId="2" borderId="8" xfId="0" applyFont="1" applyFill="1" applyBorder="1" applyAlignment="1">
      <alignment horizontal="center" vertical="center" wrapText="1"/>
    </xf>
    <xf numFmtId="22" fontId="0" fillId="0" borderId="2" xfId="0" applyNumberFormat="1" applyBorder="1"/>
    <xf numFmtId="9" fontId="0" fillId="0" borderId="2" xfId="0" applyNumberFormat="1" applyBorder="1" applyAlignment="1">
      <alignment horizontal="center"/>
    </xf>
    <xf numFmtId="22" fontId="0" fillId="0" borderId="3" xfId="0" applyNumberFormat="1" applyBorder="1"/>
    <xf numFmtId="22" fontId="0" fillId="0" borderId="4" xfId="0" applyNumberFormat="1" applyBorder="1"/>
    <xf numFmtId="9" fontId="0" fillId="0" borderId="4" xfId="0" applyNumberFormat="1" applyBorder="1" applyAlignment="1">
      <alignment horizontal="center"/>
    </xf>
    <xf numFmtId="9" fontId="0" fillId="0" borderId="3" xfId="0" applyNumberFormat="1" applyBorder="1" applyAlignment="1">
      <alignment horizontal="center"/>
    </xf>
    <xf numFmtId="9" fontId="2" fillId="0" borderId="1" xfId="0" applyNumberFormat="1" applyFont="1" applyBorder="1" applyAlignment="1">
      <alignment horizontal="center"/>
    </xf>
    <xf numFmtId="9" fontId="0" fillId="0" borderId="1" xfId="2" applyFont="1" applyBorder="1"/>
    <xf numFmtId="9" fontId="2" fillId="0" borderId="1" xfId="2" applyFont="1" applyBorder="1"/>
    <xf numFmtId="0" fontId="2" fillId="0" borderId="0" xfId="0" applyFont="1" applyAlignment="1">
      <alignment horizontal="right"/>
    </xf>
    <xf numFmtId="0" fontId="0" fillId="2" borderId="1" xfId="0" applyFill="1" applyBorder="1" applyAlignment="1">
      <alignment horizontal="center"/>
    </xf>
    <xf numFmtId="165" fontId="0" fillId="0" borderId="3" xfId="0" applyNumberFormat="1" applyBorder="1" applyAlignment="1">
      <alignment horizontal="center"/>
    </xf>
    <xf numFmtId="9" fontId="0" fillId="0" borderId="3" xfId="2" applyFont="1" applyBorder="1" applyAlignment="1">
      <alignment horizontal="center"/>
    </xf>
    <xf numFmtId="1" fontId="0" fillId="0" borderId="3" xfId="0" applyNumberFormat="1" applyBorder="1" applyAlignment="1">
      <alignment horizontal="center"/>
    </xf>
    <xf numFmtId="9" fontId="0" fillId="0" borderId="4" xfId="2" applyFont="1" applyBorder="1" applyAlignment="1">
      <alignment horizontal="center"/>
    </xf>
    <xf numFmtId="1" fontId="0" fillId="0" borderId="4" xfId="0" applyNumberFormat="1" applyBorder="1" applyAlignment="1">
      <alignment horizontal="center"/>
    </xf>
    <xf numFmtId="165" fontId="2" fillId="0" borderId="1" xfId="0" applyNumberFormat="1" applyFont="1" applyBorder="1" applyAlignment="1">
      <alignment horizontal="center"/>
    </xf>
    <xf numFmtId="9" fontId="2" fillId="0" borderId="1" xfId="2" applyFont="1" applyBorder="1" applyAlignment="1">
      <alignment horizontal="center"/>
    </xf>
    <xf numFmtId="0" fontId="2" fillId="0" borderId="3" xfId="0" applyFont="1" applyBorder="1" applyAlignment="1">
      <alignment horizontal="center" vertical="center" wrapText="1"/>
    </xf>
    <xf numFmtId="22" fontId="0" fillId="0" borderId="0" xfId="0" applyNumberFormat="1"/>
    <xf numFmtId="0" fontId="0" fillId="0" borderId="8" xfId="0" applyBorder="1" applyAlignment="1">
      <alignment horizontal="left"/>
    </xf>
    <xf numFmtId="0" fontId="0" fillId="0" borderId="0" xfId="0"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0" fillId="0" borderId="7" xfId="0" applyBorder="1" applyAlignment="1">
      <alignment horizontal="left"/>
    </xf>
    <xf numFmtId="0" fontId="0" fillId="0" borderId="0" xfId="0" applyAlignment="1">
      <alignment wrapText="1"/>
    </xf>
    <xf numFmtId="3" fontId="0" fillId="0" borderId="0" xfId="0" applyNumberFormat="1" applyAlignment="1">
      <alignment wrapText="1"/>
    </xf>
    <xf numFmtId="0" fontId="5" fillId="0" borderId="0" xfId="0" applyFont="1"/>
    <xf numFmtId="0" fontId="0" fillId="0" borderId="0" xfId="0" pivotButton="1"/>
    <xf numFmtId="0" fontId="0" fillId="0" borderId="0" xfId="0" applyNumberFormat="1"/>
    <xf numFmtId="2" fontId="0" fillId="0" borderId="0" xfId="0" applyNumberFormat="1"/>
    <xf numFmtId="2" fontId="0" fillId="0" borderId="0" xfId="0" applyNumberFormat="1" applyAlignment="1"/>
  </cellXfs>
  <cellStyles count="3">
    <cellStyle name="Millares" xfId="1" builtinId="3"/>
    <cellStyle name="Normal" xfId="0" builtinId="0"/>
    <cellStyle name="Porcentaje" xfId="2" builtinId="5"/>
  </cellStyles>
  <dxfs count="2">
    <dxf>
      <font>
        <color auto="1"/>
      </font>
      <fill>
        <patternFill>
          <bgColor theme="9" tint="0.59996337778862885"/>
        </patternFill>
      </fill>
    </dxf>
    <dxf>
      <fill>
        <patternFill>
          <bgColor theme="9" tint="0.59996337778862885"/>
        </patternFill>
      </fill>
    </dxf>
  </dxfs>
  <tableStyles count="1" defaultTableStyle="TableStyleMedium2" defaultPivotStyle="PivotStyleLight16">
    <tableStyle name="Invisible" pivot="0" table="0" count="0" xr9:uid="{5963A82E-5D69-45A9-AB3F-E745A3B0C74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593913</xdr:colOff>
      <xdr:row>1</xdr:row>
      <xdr:rowOff>92822</xdr:rowOff>
    </xdr:from>
    <xdr:to>
      <xdr:col>17</xdr:col>
      <xdr:colOff>100854</xdr:colOff>
      <xdr:row>4</xdr:row>
      <xdr:rowOff>153708</xdr:rowOff>
    </xdr:to>
    <xdr:sp macro="[0]!UnlockAll" textlink="">
      <xdr:nvSpPr>
        <xdr:cNvPr id="2" name="Rectangle: Rounded Corners 1">
          <a:extLst>
            <a:ext uri="{FF2B5EF4-FFF2-40B4-BE49-F238E27FC236}">
              <a16:creationId xmlns:a16="http://schemas.microsoft.com/office/drawing/2014/main" id="{989B390A-DE75-D3D0-6A09-E40E6BC18EB1}"/>
            </a:ext>
          </a:extLst>
        </xdr:cNvPr>
        <xdr:cNvSpPr/>
      </xdr:nvSpPr>
      <xdr:spPr>
        <a:xfrm>
          <a:off x="15934766" y="272116"/>
          <a:ext cx="1490382" cy="598768"/>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400">
              <a:solidFill>
                <a:sysClr val="windowText" lastClr="000000"/>
              </a:solidFill>
            </a:rPr>
            <a:t>ADMI</a:t>
          </a:r>
          <a:r>
            <a:rPr lang="en-GB" sz="1400" baseline="0">
              <a:solidFill>
                <a:sysClr val="windowText" lastClr="000000"/>
              </a:solidFill>
            </a:rPr>
            <a:t>N USE ONLY</a:t>
          </a:r>
          <a:endParaRPr lang="en-GB" sz="1400">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11.732707291667" createdVersion="8" refreshedVersion="8" minRefreshableVersion="3" recordCount="47" xr:uid="{64CB12B7-B233-47C7-B423-E211F79CA7A1}">
  <cacheSource type="worksheet">
    <worksheetSource ref="A4:O51" sheet="Datos"/>
  </cacheSource>
  <cacheFields count="15">
    <cacheField name="Número de grupo de ubicación" numFmtId="0">
      <sharedItems containsSemiMixedTypes="0" containsString="0" containsNumber="1" containsInteger="1" minValue="1" maxValue="6" count="6">
        <n v="4"/>
        <n v="3"/>
        <n v="6"/>
        <n v="1"/>
        <n v="5"/>
        <n v="2"/>
      </sharedItems>
    </cacheField>
    <cacheField name="Nombre de grupo de ubicación" numFmtId="0">
      <sharedItems/>
    </cacheField>
    <cacheField name="Dirección" numFmtId="0">
      <sharedItems/>
    </cacheField>
    <cacheField name="Quitar pio" numFmtId="0">
      <sharedItems/>
    </cacheField>
    <cacheField name="Quitar rango" numFmtId="0">
      <sharedItems/>
    </cacheField>
    <cacheField name="Dirección depurada" numFmtId="0">
      <sharedItems count="47">
        <s v="185 Pink Avenue"/>
        <s v="156 Brown St."/>
        <s v="16 Green Blvd"/>
        <s v="195 Black Crescent"/>
        <s v="34 Yellow Ave "/>
        <s v="216 Pink Blvd"/>
        <s v="12 Black Way"/>
        <s v="222 Purple Hill"/>
        <s v="97 Blue Crescent"/>
        <s v="245 Yellow Ave"/>
        <s v="180 Pink St "/>
        <s v="115 Purple Street"/>
        <s v="38 Blue Way "/>
        <s v="250 Pink Blvd"/>
        <s v="132 Orange Road"/>
        <s v="182 Black Way"/>
        <s v="210 Blue Crescent"/>
        <s v="213 Black Crescent"/>
        <s v="51 Blue Street "/>
        <s v="227 Yellow Way "/>
        <s v="215 Yellow Ave"/>
        <s v="14 Brown Crescent "/>
        <s v="177 Blue Ave "/>
        <s v="61 Brown Way"/>
        <s v="71 Purple Blvd"/>
        <s v="86 Orange Avenue"/>
        <s v="202 Brown Crescent"/>
        <s v="69 Purple Crescent"/>
        <s v="92 Blue Street"/>
        <s v="185 White Crescent "/>
        <s v="29 Brown Crescent"/>
        <s v="248 Brown Blvd"/>
        <s v="247 Pink Road"/>
        <s v="22 Blue Avenue"/>
        <s v="234 Yellow Way"/>
        <s v="12 White Way"/>
        <s v="89 Brown Avenue "/>
        <s v="203 Blue Road"/>
        <s v="28 Orange Road"/>
        <s v="43 Brown St."/>
        <s v="228 Pink Avenue"/>
        <s v="141 Yellow Blvd"/>
        <s v="81 Blue Street"/>
        <s v="38 Blue Crescent"/>
        <s v="133 Orange Crescent"/>
        <s v="10 Black Avenue"/>
        <s v="36 White Road"/>
      </sharedItems>
    </cacheField>
    <cacheField name="Item" numFmtId="0">
      <sharedItems count="47">
        <s v="West Lean To "/>
        <s v="Primer Building "/>
        <s v="North Lean To "/>
        <s v="Main Manufacturing Building "/>
        <s v="2nd Manufacturing Building "/>
        <s v="Treating Plant"/>
        <s v="Stacker Building "/>
        <s v="Dome 11"/>
        <s v="Far East Lean To "/>
        <s v="Dome 12"/>
        <s v="Cold Storage for Lumber Dome 13"/>
        <s v="Dowler Building"/>
        <s v="Post Processing Building Sawmill"/>
        <s v="Dry Kiln"/>
        <s v="Dry Storage Building Dome 14"/>
        <s v="Office Breakroom "/>
        <s v="Shop Pole Barn Storage Old Repair Shop"/>
        <s v="Hoop BuildingDome"/>
        <s v="Merch BuildingIncludes Installed Equip"/>
        <s v="TW Shop Building"/>
        <s v="Warehouse New Repair Shop"/>
        <s v="Manufacturing Plant Chip Building "/>
        <s v="Hoop Building Dome 5"/>
        <s v="Bin"/>
        <s v="Office"/>
        <s v="Maintenance Shop"/>
        <s v="Freezer 8"/>
        <s v="Offices Batteries zone"/>
        <s v="Warehouse"/>
        <s v="CP2 Production Line"/>
        <s v="Waste Water Treating Facility"/>
        <s v="Old part of building"/>
        <s v="Office equipment"/>
        <s v="EDPStLinLaurentides"/>
        <s v="EDPBoisDesFilion"/>
        <s v="EDPCologix Montreal, Qc"/>
        <s v="Lift trucks"/>
        <s v="CP2 Production Line Equipment"/>
        <s v="Repackaging Equipment"/>
        <s v="Maintenance shop Equipment"/>
        <s v="Experimental Kitchen &amp; Lab Equipment"/>
        <s v="Various Equipment"/>
        <s v="Waste Water Treating Facility Equipment"/>
        <s v="Stock Finished goods"/>
        <s v="Profits"/>
        <s v="Auditors Fees"/>
        <s v="Extra Expense"/>
      </sharedItems>
    </cacheField>
    <cacheField name="Valor 1" numFmtId="3">
      <sharedItems containsSemiMixedTypes="0" containsString="0" containsNumber="1" containsInteger="1" minValue="24419" maxValue="988790"/>
    </cacheField>
    <cacheField name="Valor 2" numFmtId="3">
      <sharedItems containsSemiMixedTypes="0" containsString="0" containsNumber="1" containsInteger="1" minValue="10970" maxValue="997766"/>
    </cacheField>
    <cacheField name="Valor 3" numFmtId="3">
      <sharedItems containsSemiMixedTypes="0" containsString="0" containsNumber="1" containsInteger="1" minValue="15575" maxValue="998673"/>
    </cacheField>
    <cacheField name="Importe Total" numFmtId="3">
      <sharedItems containsSemiMixedTypes="0" containsString="0" containsNumber="1" containsInteger="1" minValue="146021" maxValue="2625222"/>
    </cacheField>
    <cacheField name="Suma Valores 1&amp;2" numFmtId="3">
      <sharedItems containsSemiMixedTypes="0" containsString="0" containsNumber="1" containsInteger="1" minValue="87713" maxValue="1744321"/>
    </cacheField>
    <cacheField name="Período aplicable del Valor 3 (Meses)" numFmtId="0">
      <sharedItems containsSemiMixedTypes="0" containsString="0" containsNumber="1" containsInteger="1" minValue="12" maxValue="36"/>
    </cacheField>
    <cacheField name="Valor 3 ajustado a 12 meses" numFmtId="0">
      <sharedItems containsSemiMixedTypes="0" containsString="0" containsNumber="1" minValue="15575" maxValue="998673"/>
    </cacheField>
    <cacheField name="Valor 4 (Prorrateo)" numFmtId="0">
      <sharedItems containsSemiMixedTypes="0" containsString="0" containsNumber="1" minValue="18712.719547605866" maxValue="336424.5076818058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x v="0"/>
    <s v="Hail"/>
    <s v="185 Pink Avenue"/>
    <s v="185 Pink Avenue"/>
    <s v="185 Pink Avenue"/>
    <x v="0"/>
    <x v="0"/>
    <n v="860987"/>
    <n v="114900"/>
    <n v="900848"/>
    <n v="1876735"/>
    <n v="975887"/>
    <n v="12"/>
    <n v="900848"/>
    <n v="240505.24048031514"/>
  </r>
  <r>
    <x v="1"/>
    <s v="Flood"/>
    <s v="156 Brown St."/>
    <s v="156 Brown St."/>
    <s v="156 Brown St."/>
    <x v="1"/>
    <x v="1"/>
    <n v="917141"/>
    <n v="27120"/>
    <n v="141633"/>
    <n v="1085894"/>
    <n v="944261"/>
    <n v="24"/>
    <n v="70816.5"/>
    <n v="139158.27093656341"/>
  </r>
  <r>
    <x v="2"/>
    <s v="Other"/>
    <s v="16 Green Blvd"/>
    <s v="16 Green Blvd"/>
    <s v="16 Green Blvd"/>
    <x v="2"/>
    <x v="2"/>
    <n v="617787"/>
    <n v="255726"/>
    <n v="37927"/>
    <n v="911440"/>
    <n v="873513"/>
    <n v="12"/>
    <n v="37927"/>
    <n v="116801.8374375596"/>
  </r>
  <r>
    <x v="1"/>
    <s v="Flood"/>
    <s v="195 Black Crescent"/>
    <s v="195 Black Crescent"/>
    <s v="195 Black Crescent"/>
    <x v="3"/>
    <x v="3"/>
    <n v="776704"/>
    <n v="900785"/>
    <n v="947733"/>
    <n v="2625222"/>
    <n v="1677489"/>
    <n v="12"/>
    <n v="947733"/>
    <n v="336424.50768180587"/>
  </r>
  <r>
    <x v="1"/>
    <s v="Flood"/>
    <s v="34 Yellow Ave Unit 4"/>
    <s v="34 Yellow Ave "/>
    <s v="34 Yellow Ave "/>
    <x v="4"/>
    <x v="4"/>
    <n v="786044"/>
    <n v="772642"/>
    <n v="901396"/>
    <n v="2460082"/>
    <n v="1558686"/>
    <n v="36"/>
    <n v="300465.33333333331"/>
    <n v="315261.67147268774"/>
  </r>
  <r>
    <x v="0"/>
    <s v="Hail"/>
    <s v="#216 Pink Blvd"/>
    <s v="#216 Pink Blvd"/>
    <s v="#216 Pink Blvd"/>
    <x v="5"/>
    <x v="5"/>
    <n v="685100"/>
    <n v="416027"/>
    <n v="409897"/>
    <n v="1511024"/>
    <n v="1101127"/>
    <n v="36"/>
    <n v="136632.33333333334"/>
    <n v="193639.05425727536"/>
  </r>
  <r>
    <x v="0"/>
    <s v="Hail"/>
    <s v="12-20 Black Way"/>
    <s v="12-20 Black Way"/>
    <s v="12 Black Way"/>
    <x v="6"/>
    <x v="6"/>
    <n v="53956"/>
    <n v="564252"/>
    <n v="357928"/>
    <n v="976136"/>
    <n v="618208"/>
    <n v="12"/>
    <n v="357928"/>
    <n v="125092.68672534636"/>
  </r>
  <r>
    <x v="3"/>
    <s v="Earthquake"/>
    <s v="222 Purple Hill"/>
    <s v="222 Purple Hill"/>
    <s v="222 Purple Hill"/>
    <x v="7"/>
    <x v="7"/>
    <n v="819399"/>
    <n v="693226"/>
    <n v="598380"/>
    <n v="2111005"/>
    <n v="1512625"/>
    <n v="12"/>
    <n v="598380"/>
    <n v="270527.14697607688"/>
  </r>
  <r>
    <x v="0"/>
    <s v="Hail"/>
    <s v="97 Blue Crescent"/>
    <s v="97 Blue Crescent"/>
    <s v="97 Blue Crescent"/>
    <x v="8"/>
    <x v="8"/>
    <n v="71963"/>
    <n v="368847"/>
    <n v="933532"/>
    <n v="1374342"/>
    <n v="440810"/>
    <n v="12"/>
    <n v="933532"/>
    <n v="176123.13577153796"/>
  </r>
  <r>
    <x v="4"/>
    <s v="Fire"/>
    <s v="245 Yellow Ave"/>
    <s v="245 Yellow Ave"/>
    <s v="245 Yellow Ave"/>
    <x v="9"/>
    <x v="9"/>
    <n v="642162"/>
    <n v="743470"/>
    <n v="49574"/>
    <n v="1435206"/>
    <n v="1385632"/>
    <n v="12"/>
    <n v="49574"/>
    <n v="183922.91088981193"/>
  </r>
  <r>
    <x v="2"/>
    <s v="Other"/>
    <s v="180 Pink St Suite 4"/>
    <s v="180 Pink St "/>
    <s v="180 Pink St "/>
    <x v="10"/>
    <x v="10"/>
    <n v="381832"/>
    <n v="412069"/>
    <n v="738365"/>
    <n v="1532266"/>
    <n v="793901"/>
    <n v="18"/>
    <n v="492243.33333333331"/>
    <n v="196361.23523556101"/>
  </r>
  <r>
    <x v="4"/>
    <s v="Fire"/>
    <s v="115 Purple Street"/>
    <s v="115 Purple Street"/>
    <s v="115 Purple Street"/>
    <x v="11"/>
    <x v="11"/>
    <n v="988790"/>
    <n v="573087"/>
    <n v="932111"/>
    <n v="2493988"/>
    <n v="1561877"/>
    <n v="12"/>
    <n v="932111"/>
    <n v="319606.75518654479"/>
  </r>
  <r>
    <x v="1"/>
    <s v="Flood"/>
    <s v="38 Blue Way Unit 3"/>
    <s v="38 Blue Way "/>
    <s v="38 Blue Way "/>
    <x v="12"/>
    <x v="12"/>
    <n v="599171"/>
    <n v="113365"/>
    <n v="525330"/>
    <n v="1237866"/>
    <n v="712536"/>
    <n v="12"/>
    <n v="525330"/>
    <n v="158633.61636693822"/>
  </r>
  <r>
    <x v="5"/>
    <s v="Windstorm"/>
    <s v="250 Pink Blvd"/>
    <s v="250 Pink Blvd"/>
    <s v="250 Pink Blvd"/>
    <x v="13"/>
    <x v="13"/>
    <n v="399740"/>
    <n v="997766"/>
    <n v="998673"/>
    <n v="2396179"/>
    <n v="1397506"/>
    <n v="12"/>
    <n v="998673"/>
    <n v="307072.44583219313"/>
  </r>
  <r>
    <x v="2"/>
    <s v="Other"/>
    <s v="132-136 Orange Road"/>
    <s v="132-136 Orange Road"/>
    <s v="132 Orange Road"/>
    <x v="14"/>
    <x v="14"/>
    <n v="73001"/>
    <n v="918657"/>
    <n v="787616"/>
    <n v="1779274"/>
    <n v="991658"/>
    <n v="12"/>
    <n v="787616"/>
    <n v="228015.52763196308"/>
  </r>
  <r>
    <x v="2"/>
    <s v="Other"/>
    <s v="182 Black Way"/>
    <s v="182 Black Way"/>
    <s v="182 Black Way"/>
    <x v="15"/>
    <x v="15"/>
    <n v="110090"/>
    <n v="818257"/>
    <n v="991061"/>
    <n v="1919408"/>
    <n v="928347"/>
    <n v="12"/>
    <n v="991061"/>
    <n v="245973.82295307581"/>
  </r>
  <r>
    <x v="4"/>
    <s v="Fire"/>
    <s v="210 Blue Crescent"/>
    <s v="210 Blue Crescent"/>
    <s v="210 Blue Crescent"/>
    <x v="16"/>
    <x v="16"/>
    <n v="649515"/>
    <n v="595210"/>
    <n v="903421"/>
    <n v="2148146"/>
    <n v="1244725"/>
    <n v="12"/>
    <n v="903421"/>
    <n v="275286.79878449917"/>
  </r>
  <r>
    <x v="2"/>
    <s v="Other"/>
    <s v="213 Black Crescent"/>
    <s v="213 Black Crescent"/>
    <s v="213 Black Crescent"/>
    <x v="17"/>
    <x v="17"/>
    <n v="855188"/>
    <n v="626326"/>
    <n v="53986"/>
    <n v="1535500"/>
    <n v="1481514"/>
    <n v="36"/>
    <n v="17995.333333333332"/>
    <n v="196775.6751792469"/>
  </r>
  <r>
    <x v="4"/>
    <s v="Fire"/>
    <s v="51 Blue Street Unit 3"/>
    <s v="51 Blue Street "/>
    <s v="51 Blue Street "/>
    <x v="18"/>
    <x v="18"/>
    <n v="802364"/>
    <n v="316112"/>
    <n v="815866"/>
    <n v="1934342"/>
    <n v="1118476"/>
    <n v="36"/>
    <n v="271955.33333333331"/>
    <n v="247887.62818467911"/>
  </r>
  <r>
    <x v="2"/>
    <s v="Other"/>
    <s v="227 Yellow Way Unit 3"/>
    <s v="227 Yellow Way "/>
    <s v="227 Yellow Way "/>
    <x v="19"/>
    <x v="19"/>
    <n v="801679"/>
    <n v="350321"/>
    <n v="557708"/>
    <n v="1709708"/>
    <n v="1152000"/>
    <n v="36"/>
    <n v="185902.66666666666"/>
    <n v="219100.58356194064"/>
  </r>
  <r>
    <x v="4"/>
    <s v="Fire"/>
    <s v="215 Yellow Ave"/>
    <s v="215 Yellow Ave"/>
    <s v="215 Yellow Ave"/>
    <x v="20"/>
    <x v="20"/>
    <n v="819779"/>
    <n v="288197"/>
    <n v="213817"/>
    <n v="1321793"/>
    <n v="1107976"/>
    <n v="12"/>
    <n v="213817"/>
    <n v="169388.93521471979"/>
  </r>
  <r>
    <x v="1"/>
    <s v="Flood"/>
    <s v="14 Brown Crescent Unit 9"/>
    <s v="14 Brown Crescent "/>
    <s v="14 Brown Crescent "/>
    <x v="21"/>
    <x v="21"/>
    <n v="416405"/>
    <n v="673955"/>
    <n v="15575"/>
    <n v="1105935"/>
    <n v="1090360"/>
    <n v="12"/>
    <n v="15575"/>
    <n v="141726.54270879869"/>
  </r>
  <r>
    <x v="5"/>
    <s v="Windstorm"/>
    <s v="177 Blue Ave Unit 8"/>
    <s v="177 Blue Ave "/>
    <s v="177 Blue Ave "/>
    <x v="22"/>
    <x v="22"/>
    <n v="129325"/>
    <n v="795377"/>
    <n v="616367"/>
    <n v="1541069"/>
    <n v="924702"/>
    <n v="12"/>
    <n v="616367"/>
    <n v="197489.3474261197"/>
  </r>
  <r>
    <x v="1"/>
    <s v="Flood"/>
    <s v="61 Brown Way"/>
    <s v="61 Brown Way"/>
    <s v="61 Brown Way"/>
    <x v="23"/>
    <x v="23"/>
    <n v="754511"/>
    <n v="249744"/>
    <n v="679050"/>
    <n v="1683305"/>
    <n v="1004255"/>
    <n v="12"/>
    <n v="679050"/>
    <n v="215717.01589554033"/>
  </r>
  <r>
    <x v="1"/>
    <s v="Flood"/>
    <s v="71-80 Purple Blvd"/>
    <s v="71-80 Purple Blvd"/>
    <s v="71 Purple Blvd"/>
    <x v="24"/>
    <x v="24"/>
    <n v="250992"/>
    <n v="744912"/>
    <n v="85596"/>
    <n v="1081500"/>
    <n v="995904"/>
    <n v="12"/>
    <n v="85596"/>
    <n v="138595.17597287885"/>
  </r>
  <r>
    <x v="4"/>
    <s v="Fire"/>
    <s v="86 Orange Avenue"/>
    <s v="86 Orange Avenue"/>
    <s v="86 Orange Avenue"/>
    <x v="25"/>
    <x v="25"/>
    <n v="605058"/>
    <n v="178831"/>
    <n v="845362"/>
    <n v="1629251"/>
    <n v="783889"/>
    <n v="12"/>
    <n v="845362"/>
    <n v="208789.94826536189"/>
  </r>
  <r>
    <x v="4"/>
    <s v="Fire"/>
    <s v="202 Brown Crescent"/>
    <s v="202 Brown Crescent"/>
    <s v="202 Brown Crescent"/>
    <x v="26"/>
    <x v="26"/>
    <n v="305105"/>
    <n v="642147"/>
    <n v="712378"/>
    <n v="1659630"/>
    <n v="947252"/>
    <n v="12"/>
    <n v="712378"/>
    <n v="212683.04382789548"/>
  </r>
  <r>
    <x v="3"/>
    <s v="Earthquake"/>
    <s v="#69 Purple Crescent"/>
    <s v="#69 Purple Crescent"/>
    <s v="#69 Purple Crescent"/>
    <x v="27"/>
    <x v="27"/>
    <n v="503763"/>
    <n v="95136"/>
    <n v="621836"/>
    <n v="1220735"/>
    <n v="598899"/>
    <n v="12"/>
    <n v="621836"/>
    <n v="156438.26365349264"/>
  </r>
  <r>
    <x v="2"/>
    <s v="Other"/>
    <s v="92 Blue Street"/>
    <s v="92 Blue Street"/>
    <s v="92 Blue Street"/>
    <x v="28"/>
    <x v="28"/>
    <n v="940037"/>
    <n v="652789"/>
    <n v="128281"/>
    <n v="1721107"/>
    <n v="1592826"/>
    <n v="12"/>
    <n v="128281"/>
    <n v="220561.37543518597"/>
  </r>
  <r>
    <x v="4"/>
    <s v="Fire"/>
    <s v="185 White Crescent Suite 6"/>
    <s v="185 White Crescent "/>
    <s v="185 White Crescent "/>
    <x v="29"/>
    <x v="29"/>
    <n v="631182"/>
    <n v="97640"/>
    <n v="570699"/>
    <n v="1299521"/>
    <n v="728822"/>
    <n v="18"/>
    <n v="380466"/>
    <n v="166534.75883074573"/>
  </r>
  <r>
    <x v="4"/>
    <s v="Fire"/>
    <s v="29 Brown Crescent"/>
    <s v="29 Brown Crescent"/>
    <s v="29 Brown Crescent"/>
    <x v="30"/>
    <x v="30"/>
    <n v="273099"/>
    <n v="162850"/>
    <n v="300656"/>
    <n v="736605"/>
    <n v="435949"/>
    <n v="18"/>
    <n v="200437.33333333334"/>
    <n v="94396.578453538998"/>
  </r>
  <r>
    <x v="5"/>
    <s v="Windstorm"/>
    <s v="248 Brown Blvd"/>
    <s v="248 Brown Blvd"/>
    <s v="248 Brown Blvd"/>
    <x v="31"/>
    <x v="31"/>
    <n v="914535"/>
    <n v="216333"/>
    <n v="759668"/>
    <n v="1890536"/>
    <n v="1130868"/>
    <n v="18"/>
    <n v="506445.33333333331"/>
    <n v="242273.85076566116"/>
  </r>
  <r>
    <x v="5"/>
    <s v="Windstorm"/>
    <s v="247 Pink Road"/>
    <s v="247 Pink Road"/>
    <s v="247 Pink Road"/>
    <x v="32"/>
    <x v="32"/>
    <n v="934287"/>
    <n v="810034"/>
    <n v="343346"/>
    <n v="2087667"/>
    <n v="1744321"/>
    <n v="18"/>
    <n v="228897.33333333334"/>
    <n v="267536.36175475921"/>
  </r>
  <r>
    <x v="4"/>
    <s v="Fire"/>
    <s v="22 Blue Avenue"/>
    <s v="22 Blue Avenue"/>
    <s v="22 Blue Avenue"/>
    <x v="33"/>
    <x v="33"/>
    <n v="553800"/>
    <n v="945309"/>
    <n v="141913"/>
    <n v="1641022"/>
    <n v="1499109"/>
    <n v="18"/>
    <n v="94608.666666666672"/>
    <n v="210298.41226571024"/>
  </r>
  <r>
    <x v="0"/>
    <s v="Hail"/>
    <s v="234 Yellow Way"/>
    <s v="234 Yellow Way"/>
    <s v="234 Yellow Way"/>
    <x v="34"/>
    <x v="34"/>
    <n v="743857"/>
    <n v="824219"/>
    <n v="617862"/>
    <n v="2185938"/>
    <n v="1568076"/>
    <n v="18"/>
    <n v="411908"/>
    <n v="280129.87681535172"/>
  </r>
  <r>
    <x v="4"/>
    <s v="Fire"/>
    <s v="12-13 White Way"/>
    <s v="12-13 White Way"/>
    <s v="12 White Way"/>
    <x v="35"/>
    <x v="35"/>
    <n v="24419"/>
    <n v="888729"/>
    <n v="875923"/>
    <n v="1789071"/>
    <n v="913148"/>
    <n v="12"/>
    <n v="875923"/>
    <n v="229271.02179655511"/>
  </r>
  <r>
    <x v="5"/>
    <s v="Windstorm"/>
    <s v="89 Brown Avenue Unit 2"/>
    <s v="89 Brown Avenue "/>
    <s v="89 Brown Avenue "/>
    <x v="36"/>
    <x v="36"/>
    <n v="278687"/>
    <n v="334073"/>
    <n v="933846"/>
    <n v="1546606"/>
    <n v="612760"/>
    <n v="12"/>
    <n v="933846"/>
    <n v="198198.91884485463"/>
  </r>
  <r>
    <x v="3"/>
    <s v="Earthquake"/>
    <s v="203 Blue Road"/>
    <s v="203 Blue Road"/>
    <s v="203 Blue Road"/>
    <x v="37"/>
    <x v="37"/>
    <n v="465041"/>
    <n v="89894"/>
    <n v="587390"/>
    <n v="1142325"/>
    <n v="554935"/>
    <n v="12"/>
    <n v="587390"/>
    <n v="146389.95320685979"/>
  </r>
  <r>
    <x v="1"/>
    <s v="Flood"/>
    <s v="28 Orange Road"/>
    <s v="28 Orange Road"/>
    <s v="28 Orange Road"/>
    <x v="38"/>
    <x v="38"/>
    <n v="210926"/>
    <n v="876352"/>
    <n v="124064"/>
    <n v="1211342"/>
    <n v="1087278"/>
    <n v="12"/>
    <n v="124064"/>
    <n v="155234.54244414149"/>
  </r>
  <r>
    <x v="1"/>
    <s v="Flood"/>
    <s v="43-49 Brown St."/>
    <s v="43-49 Brown St."/>
    <s v="43 Brown St."/>
    <x v="39"/>
    <x v="39"/>
    <n v="604729"/>
    <n v="84466"/>
    <n v="616433"/>
    <n v="1305628"/>
    <n v="689195"/>
    <n v="12"/>
    <n v="616433"/>
    <n v="167317.37625068691"/>
  </r>
  <r>
    <x v="5"/>
    <s v="Windstorm"/>
    <s v="228 Pink Avenue"/>
    <s v="228 Pink Avenue"/>
    <s v="228 Pink Avenue"/>
    <x v="40"/>
    <x v="40"/>
    <n v="585497"/>
    <n v="889504"/>
    <n v="128487"/>
    <n v="1603488"/>
    <n v="1475001"/>
    <n v="12"/>
    <n v="128487"/>
    <n v="205488.39716171945"/>
  </r>
  <r>
    <x v="0"/>
    <s v="Hail"/>
    <s v="141 Yellow Blvd"/>
    <s v="141 Yellow Blvd"/>
    <s v="141 Yellow Blvd"/>
    <x v="41"/>
    <x v="41"/>
    <n v="857867"/>
    <n v="10970"/>
    <n v="71560"/>
    <n v="940397"/>
    <n v="868837"/>
    <n v="24"/>
    <n v="35780"/>
    <n v="120512.70244971555"/>
  </r>
  <r>
    <x v="4"/>
    <s v="Fire"/>
    <s v="81 Blue Street"/>
    <s v="81 Blue Street"/>
    <s v="81 Blue Street"/>
    <x v="42"/>
    <x v="42"/>
    <n v="768065"/>
    <n v="904615"/>
    <n v="493017"/>
    <n v="2165697"/>
    <n v="1672680"/>
    <n v="24"/>
    <n v="246508.5"/>
    <n v="277535.97486725461"/>
  </r>
  <r>
    <x v="4"/>
    <s v="Fire"/>
    <s v="38 Blue Crescent"/>
    <s v="38 Blue Crescent"/>
    <s v="38 Blue Crescent"/>
    <x v="43"/>
    <x v="43"/>
    <n v="671312"/>
    <n v="608993"/>
    <n v="481648"/>
    <n v="1761953"/>
    <n v="1280305"/>
    <n v="24"/>
    <n v="240824"/>
    <n v="225795.82625144877"/>
  </r>
  <r>
    <x v="5"/>
    <s v="Windstorm"/>
    <s v="133 Orange Crescent"/>
    <s v="133 Orange Crescent"/>
    <s v="133 Orange Crescent"/>
    <x v="44"/>
    <x v="44"/>
    <n v="477070"/>
    <n v="637457"/>
    <n v="394527"/>
    <n v="1509054"/>
    <n v="1114527"/>
    <n v="24"/>
    <n v="197263.5"/>
    <n v="193386.59702503629"/>
  </r>
  <r>
    <x v="1"/>
    <s v="Flood"/>
    <s v="10 Black Avenue"/>
    <s v="10 Black Avenue"/>
    <s v="10 Black Avenue"/>
    <x v="45"/>
    <x v="45"/>
    <n v="741836"/>
    <n v="395516"/>
    <n v="914708"/>
    <n v="2052060"/>
    <n v="1137352"/>
    <n v="12"/>
    <n v="914708"/>
    <n v="262973.29339519725"/>
  </r>
  <r>
    <x v="3"/>
    <s v="Earthquake"/>
    <s v="36 White Road"/>
    <s v="36 White Road"/>
    <s v="36 White Road"/>
    <x v="46"/>
    <x v="46"/>
    <n v="51206"/>
    <n v="36507"/>
    <n v="58308"/>
    <n v="146021"/>
    <n v="87713"/>
    <n v="12"/>
    <n v="58308"/>
    <n v="18712.7195476058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710278-0EDF-4D86-B85F-AEC211B36E64}" name="TablaDinámica1" cacheId="5254"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4:H11" firstHeaderRow="0" firstDataRow="1" firstDataCol="1"/>
  <pivotFields count="15">
    <pivotField axis="axisRow" compact="0" outline="0" showAll="0">
      <items count="7">
        <item x="3"/>
        <item x="5"/>
        <item x="1"/>
        <item x="0"/>
        <item x="4"/>
        <item x="2"/>
        <item t="default"/>
      </items>
    </pivotField>
    <pivotField compact="0" outline="0" showAll="0"/>
    <pivotField dataField="1" compact="0" outline="0" showAll="0"/>
    <pivotField compact="0" outline="0" showAll="0"/>
    <pivotField compact="0" outline="0" showAll="0"/>
    <pivotField compact="0" outline="0" showAll="0">
      <items count="48">
        <item x="45"/>
        <item x="11"/>
        <item x="6"/>
        <item x="35"/>
        <item x="14"/>
        <item x="44"/>
        <item x="21"/>
        <item x="41"/>
        <item x="1"/>
        <item x="2"/>
        <item x="22"/>
        <item x="10"/>
        <item x="15"/>
        <item x="0"/>
        <item x="29"/>
        <item x="3"/>
        <item x="26"/>
        <item x="37"/>
        <item x="16"/>
        <item x="17"/>
        <item x="20"/>
        <item x="5"/>
        <item x="33"/>
        <item x="7"/>
        <item x="19"/>
        <item x="40"/>
        <item x="34"/>
        <item x="9"/>
        <item x="32"/>
        <item x="31"/>
        <item x="13"/>
        <item x="38"/>
        <item x="30"/>
        <item x="4"/>
        <item x="46"/>
        <item x="43"/>
        <item x="12"/>
        <item x="39"/>
        <item x="18"/>
        <item x="23"/>
        <item x="27"/>
        <item x="24"/>
        <item x="42"/>
        <item x="25"/>
        <item x="36"/>
        <item x="28"/>
        <item x="8"/>
        <item t="default"/>
      </items>
    </pivotField>
    <pivotField compact="0" outline="0" showAll="0">
      <items count="48">
        <item x="4"/>
        <item x="45"/>
        <item x="23"/>
        <item x="10"/>
        <item x="29"/>
        <item x="37"/>
        <item x="7"/>
        <item x="9"/>
        <item x="11"/>
        <item x="13"/>
        <item x="14"/>
        <item x="34"/>
        <item x="35"/>
        <item x="33"/>
        <item x="40"/>
        <item x="46"/>
        <item x="8"/>
        <item x="26"/>
        <item x="22"/>
        <item x="17"/>
        <item x="36"/>
        <item x="3"/>
        <item x="25"/>
        <item x="39"/>
        <item x="21"/>
        <item x="18"/>
        <item x="2"/>
        <item x="24"/>
        <item x="15"/>
        <item x="32"/>
        <item x="27"/>
        <item x="31"/>
        <item x="12"/>
        <item x="1"/>
        <item x="44"/>
        <item x="38"/>
        <item x="16"/>
        <item x="6"/>
        <item x="43"/>
        <item x="5"/>
        <item x="19"/>
        <item x="41"/>
        <item x="28"/>
        <item x="20"/>
        <item x="30"/>
        <item x="42"/>
        <item x="0"/>
        <item t="default"/>
      </items>
    </pivotField>
    <pivotField dataField="1" compact="0" numFmtId="3" outline="0" showAll="0"/>
    <pivotField dataField="1" compact="0" numFmtId="3" outline="0" showAll="0"/>
    <pivotField dataField="1" compact="0" numFmtId="3" outline="0" showAll="0"/>
    <pivotField dataField="1" compact="0" numFmtId="3" outline="0" showAll="0"/>
    <pivotField compact="0" numFmtId="3" outline="0" showAll="0"/>
    <pivotField compact="0" outline="0" showAll="0"/>
    <pivotField compact="0" outline="0" showAll="0"/>
    <pivotField dataField="1" compact="0" outline="0" showAll="0"/>
  </pivotFields>
  <rowFields count="1">
    <field x="0"/>
  </rowFields>
  <rowItems count="7">
    <i>
      <x/>
    </i>
    <i>
      <x v="1"/>
    </i>
    <i>
      <x v="2"/>
    </i>
    <i>
      <x v="3"/>
    </i>
    <i>
      <x v="4"/>
    </i>
    <i>
      <x v="5"/>
    </i>
    <i t="grand">
      <x/>
    </i>
  </rowItems>
  <colFields count="1">
    <field x="-2"/>
  </colFields>
  <colItems count="6">
    <i>
      <x/>
    </i>
    <i i="1">
      <x v="1"/>
    </i>
    <i i="2">
      <x v="2"/>
    </i>
    <i i="3">
      <x v="3"/>
    </i>
    <i i="4">
      <x v="4"/>
    </i>
    <i i="5">
      <x v="5"/>
    </i>
  </colItems>
  <dataFields count="6">
    <dataField name="Apariciones" fld="2" subtotal="count" baseField="0" baseItem="0"/>
    <dataField name="Suma de Importe Total" fld="10" baseField="0" baseItem="0" numFmtId="3"/>
    <dataField name="Suma de Valor 1" fld="7" baseField="0" baseItem="0" numFmtId="3"/>
    <dataField name="Suma de Valor 2" fld="8" baseField="0" baseItem="0" numFmtId="3"/>
    <dataField name="Suma de Valor 3" fld="9" baseField="0" baseItem="0" numFmtId="3"/>
    <dataField name="Suma de Valor 4 (Prorrateo)"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B5DF9-65DE-4C13-A75A-1A3B68C55D0B}">
  <sheetPr codeName="Sheet1"/>
  <dimension ref="A1:I98"/>
  <sheetViews>
    <sheetView topLeftCell="B1" zoomScale="85" zoomScaleNormal="85" workbookViewId="0">
      <pane ySplit="11" topLeftCell="A66" activePane="bottomLeft" state="frozen"/>
      <selection pane="bottomLeft" activeCell="F10" sqref="F10"/>
    </sheetView>
  </sheetViews>
  <sheetFormatPr defaultColWidth="8.625" defaultRowHeight="13.9"/>
  <cols>
    <col min="1" max="1" width="20.75" customWidth="1"/>
    <col min="2" max="2" width="33.625" customWidth="1"/>
    <col min="3" max="3" width="12.875" customWidth="1"/>
    <col min="5" max="5" width="35.375" customWidth="1"/>
    <col min="6" max="6" width="20.375" customWidth="1"/>
  </cols>
  <sheetData>
    <row r="1" spans="1:9">
      <c r="A1" s="1" t="s">
        <v>0</v>
      </c>
    </row>
    <row r="3" spans="1:9" ht="27.6">
      <c r="A3" s="16" t="s">
        <v>1</v>
      </c>
      <c r="B3" s="21" t="s">
        <v>2</v>
      </c>
      <c r="D3" s="4" t="s">
        <v>3</v>
      </c>
      <c r="E3" s="4" t="s">
        <v>4</v>
      </c>
      <c r="F3" s="4" t="s">
        <v>5</v>
      </c>
    </row>
    <row r="4" spans="1:9">
      <c r="A4" s="16" t="s">
        <v>6</v>
      </c>
      <c r="B4" s="20">
        <v>46111</v>
      </c>
      <c r="D4" s="7">
        <v>1</v>
      </c>
      <c r="E4" s="11" t="s">
        <v>7</v>
      </c>
      <c r="F4" s="19" t="s">
        <v>8</v>
      </c>
    </row>
    <row r="5" spans="1:9">
      <c r="D5" s="8">
        <v>2</v>
      </c>
      <c r="E5" s="12" t="s">
        <v>9</v>
      </c>
      <c r="F5" s="19" t="s">
        <v>8</v>
      </c>
    </row>
    <row r="6" spans="1:9">
      <c r="D6" s="8">
        <v>3</v>
      </c>
      <c r="E6" s="12" t="s">
        <v>10</v>
      </c>
      <c r="F6" s="19" t="s">
        <v>8</v>
      </c>
      <c r="I6" t="s">
        <v>11</v>
      </c>
    </row>
    <row r="7" spans="1:9">
      <c r="D7" s="8">
        <v>4</v>
      </c>
      <c r="E7" s="12" t="s">
        <v>12</v>
      </c>
      <c r="F7" s="19" t="s">
        <v>8</v>
      </c>
    </row>
    <row r="8" spans="1:9">
      <c r="D8" s="8">
        <v>5</v>
      </c>
      <c r="E8" s="12" t="s">
        <v>13</v>
      </c>
      <c r="F8" s="19" t="s">
        <v>8</v>
      </c>
    </row>
    <row r="9" spans="1:9">
      <c r="D9" s="8">
        <v>6</v>
      </c>
      <c r="E9" s="12" t="s">
        <v>14</v>
      </c>
      <c r="F9" s="19" t="s">
        <v>8</v>
      </c>
    </row>
    <row r="10" spans="1:9">
      <c r="D10" s="9">
        <v>7</v>
      </c>
      <c r="E10" s="13" t="s">
        <v>15</v>
      </c>
      <c r="F10" s="19" t="s">
        <v>8</v>
      </c>
    </row>
    <row r="13" spans="1:9">
      <c r="A13" s="23" t="s">
        <v>16</v>
      </c>
    </row>
    <row r="15" spans="1:9">
      <c r="A15" s="1" t="s">
        <v>17</v>
      </c>
    </row>
    <row r="16" spans="1:9" ht="8.25" customHeight="1"/>
    <row r="17" spans="1:1">
      <c r="A17" t="s">
        <v>18</v>
      </c>
    </row>
    <row r="18" spans="1:1" ht="7.5" customHeight="1"/>
    <row r="19" spans="1:1">
      <c r="A19" t="s">
        <v>19</v>
      </c>
    </row>
    <row r="20" spans="1:1" ht="9" customHeight="1"/>
    <row r="21" spans="1:1">
      <c r="A21" t="s">
        <v>20</v>
      </c>
    </row>
    <row r="22" spans="1:1" ht="9" customHeight="1"/>
    <row r="23" spans="1:1">
      <c r="A23" t="s">
        <v>21</v>
      </c>
    </row>
    <row r="24" spans="1:1" ht="9" customHeight="1"/>
    <row r="25" spans="1:1">
      <c r="A25" s="1" t="s">
        <v>22</v>
      </c>
    </row>
    <row r="27" spans="1:1">
      <c r="A27" s="22" t="s">
        <v>23</v>
      </c>
    </row>
    <row r="29" spans="1:1">
      <c r="A29" t="s">
        <v>24</v>
      </c>
    </row>
    <row r="31" spans="1:1">
      <c r="A31" s="22" t="s">
        <v>25</v>
      </c>
    </row>
    <row r="33" spans="1:2">
      <c r="A33" t="s">
        <v>26</v>
      </c>
    </row>
    <row r="35" spans="1:2" ht="49.5" customHeight="1">
      <c r="A35" s="14" t="s">
        <v>27</v>
      </c>
      <c r="B35" s="14" t="s">
        <v>28</v>
      </c>
    </row>
    <row r="36" spans="1:2">
      <c r="A36" s="7">
        <v>1</v>
      </c>
      <c r="B36" s="11" t="s">
        <v>29</v>
      </c>
    </row>
    <row r="37" spans="1:2">
      <c r="A37" s="8">
        <v>2</v>
      </c>
      <c r="B37" s="12" t="s">
        <v>30</v>
      </c>
    </row>
    <row r="38" spans="1:2">
      <c r="A38" s="8">
        <v>3</v>
      </c>
      <c r="B38" s="12" t="s">
        <v>31</v>
      </c>
    </row>
    <row r="39" spans="1:2">
      <c r="A39" s="8">
        <v>4</v>
      </c>
      <c r="B39" s="12" t="s">
        <v>32</v>
      </c>
    </row>
    <row r="40" spans="1:2">
      <c r="A40" s="8">
        <v>5</v>
      </c>
      <c r="B40" s="12" t="s">
        <v>33</v>
      </c>
    </row>
    <row r="41" spans="1:2">
      <c r="A41" s="9">
        <v>6</v>
      </c>
      <c r="B41" s="13" t="s">
        <v>34</v>
      </c>
    </row>
    <row r="44" spans="1:2">
      <c r="A44" s="22" t="s">
        <v>35</v>
      </c>
    </row>
    <row r="46" spans="1:2">
      <c r="A46" t="s">
        <v>36</v>
      </c>
    </row>
    <row r="48" spans="1:2">
      <c r="A48" t="s">
        <v>37</v>
      </c>
    </row>
    <row r="49" spans="1:2">
      <c r="A49" t="s">
        <v>38</v>
      </c>
    </row>
    <row r="50" spans="1:2">
      <c r="A50" t="s">
        <v>39</v>
      </c>
    </row>
    <row r="51" spans="1:2">
      <c r="A51" t="s">
        <v>40</v>
      </c>
    </row>
    <row r="52" spans="1:2">
      <c r="A52" t="s">
        <v>41</v>
      </c>
    </row>
    <row r="53" spans="1:2">
      <c r="A53" t="s">
        <v>42</v>
      </c>
    </row>
    <row r="54" spans="1:2">
      <c r="A54" t="s">
        <v>43</v>
      </c>
    </row>
    <row r="57" spans="1:2">
      <c r="A57" t="s">
        <v>44</v>
      </c>
    </row>
    <row r="59" spans="1:2">
      <c r="A59" s="4" t="s">
        <v>45</v>
      </c>
      <c r="B59" s="6" t="s">
        <v>46</v>
      </c>
    </row>
    <row r="60" spans="1:2">
      <c r="A60" s="10" t="s">
        <v>47</v>
      </c>
      <c r="B60" s="10" t="s">
        <v>48</v>
      </c>
    </row>
    <row r="63" spans="1:2">
      <c r="A63" t="s">
        <v>49</v>
      </c>
    </row>
    <row r="65" spans="1:2">
      <c r="A65" s="4" t="s">
        <v>45</v>
      </c>
      <c r="B65" s="6" t="s">
        <v>46</v>
      </c>
    </row>
    <row r="66" spans="1:2">
      <c r="A66" s="10" t="s">
        <v>50</v>
      </c>
      <c r="B66" s="10" t="s">
        <v>51</v>
      </c>
    </row>
    <row r="69" spans="1:2">
      <c r="A69" s="23" t="s">
        <v>52</v>
      </c>
    </row>
    <row r="71" spans="1:2">
      <c r="A71" t="s">
        <v>53</v>
      </c>
    </row>
    <row r="74" spans="1:2">
      <c r="A74" s="23" t="s">
        <v>54</v>
      </c>
    </row>
    <row r="76" spans="1:2">
      <c r="A76" t="s">
        <v>55</v>
      </c>
    </row>
    <row r="77" spans="1:2">
      <c r="A77" t="s">
        <v>56</v>
      </c>
    </row>
    <row r="79" spans="1:2">
      <c r="A79" s="23" t="s">
        <v>57</v>
      </c>
    </row>
    <row r="81" spans="1:5" ht="14.25">
      <c r="A81" t="s">
        <v>58</v>
      </c>
    </row>
    <row r="82" spans="1:5">
      <c r="A82" t="s">
        <v>59</v>
      </c>
    </row>
    <row r="84" spans="1:5">
      <c r="A84" s="16" t="s">
        <v>60</v>
      </c>
      <c r="B84" s="17">
        <v>10000000</v>
      </c>
    </row>
    <row r="86" spans="1:5">
      <c r="A86" t="s">
        <v>61</v>
      </c>
    </row>
    <row r="88" spans="1:5">
      <c r="A88" s="53"/>
      <c r="B88" s="54"/>
      <c r="C88" s="54"/>
      <c r="D88" s="54"/>
      <c r="E88" s="55"/>
    </row>
    <row r="89" spans="1:5">
      <c r="A89" s="47"/>
      <c r="B89" s="48"/>
      <c r="C89" s="48"/>
      <c r="D89" s="48"/>
      <c r="E89" s="49"/>
    </row>
    <row r="90" spans="1:5">
      <c r="A90" s="47"/>
      <c r="B90" s="48"/>
      <c r="C90" s="48"/>
      <c r="D90" s="48"/>
      <c r="E90" s="49"/>
    </row>
    <row r="91" spans="1:5">
      <c r="A91" s="47"/>
      <c r="B91" s="48"/>
      <c r="C91" s="48"/>
      <c r="D91" s="48"/>
      <c r="E91" s="49"/>
    </row>
    <row r="92" spans="1:5">
      <c r="A92" s="47"/>
      <c r="B92" s="48"/>
      <c r="C92" s="48"/>
      <c r="D92" s="48"/>
      <c r="E92" s="49"/>
    </row>
    <row r="93" spans="1:5">
      <c r="A93" s="50"/>
      <c r="B93" s="51"/>
      <c r="C93" s="51"/>
      <c r="D93" s="51"/>
      <c r="E93" s="52"/>
    </row>
    <row r="96" spans="1:5">
      <c r="A96" s="1" t="s">
        <v>62</v>
      </c>
    </row>
    <row r="98" spans="1:1">
      <c r="A98" t="s">
        <v>63</v>
      </c>
    </row>
  </sheetData>
  <sheetProtection formatCells="0" formatColumns="0" formatRows="0" insertHyperlinks="0" sort="0" autoFilter="0" pivotTables="0"/>
  <mergeCells count="6">
    <mergeCell ref="A92:E92"/>
    <mergeCell ref="A93:E93"/>
    <mergeCell ref="A88:E88"/>
    <mergeCell ref="A89:E89"/>
    <mergeCell ref="A90:E90"/>
    <mergeCell ref="A91:E91"/>
  </mergeCells>
  <conditionalFormatting sqref="B3:B4">
    <cfRule type="notContainsBlanks" dxfId="1" priority="3">
      <formula>LEN(TRIM(B3))&gt;0</formula>
    </cfRule>
  </conditionalFormatting>
  <conditionalFormatting sqref="F4:F10">
    <cfRule type="cellIs" dxfId="0" priority="2" operator="equal">
      <formula>"Yes"</formula>
    </cfRule>
  </conditionalFormatting>
  <dataValidations count="1">
    <dataValidation type="list" allowBlank="1" showInputMessage="1" showErrorMessage="1" sqref="F30 F4:F11 F19:F20 F16" xr:uid="{32D6E24F-ABDC-4C45-9558-6A8344818E12}">
      <formula1>"Yes,Unable To Complete"</formula1>
    </dataValidation>
  </dataValidations>
  <pageMargins left="0.7" right="0.7" top="0.75" bottom="0.75" header="0.3" footer="0.3"/>
  <headerFooter>
    <oddHeader>&amp;R&amp;"Calibri"&amp;10&amp;K0000FF Confidential &amp;1#_x000D_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798D7-A633-4476-BC3D-332B9751279A}">
  <sheetPr codeName="Sheet2"/>
  <dimension ref="A1:O52"/>
  <sheetViews>
    <sheetView tabSelected="1" zoomScale="85" zoomScaleNormal="85" workbookViewId="0">
      <pane ySplit="4" topLeftCell="A40" activePane="bottomLeft" state="frozen"/>
      <selection pane="bottomLeft" activeCell="Q48" sqref="Q48"/>
    </sheetView>
  </sheetViews>
  <sheetFormatPr defaultColWidth="8.625" defaultRowHeight="14.25" customHeight="1"/>
  <cols>
    <col min="3" max="3" width="21.375" customWidth="1"/>
    <col min="4" max="5" width="21.375" hidden="1" customWidth="1"/>
    <col min="6" max="6" width="21.375" customWidth="1"/>
    <col min="7" max="7" width="27.75" customWidth="1"/>
    <col min="8" max="11" width="11.75" customWidth="1"/>
    <col min="12" max="14" width="10.375" customWidth="1"/>
    <col min="15" max="15" width="10.625" customWidth="1"/>
    <col min="18" max="18" width="16.25" customWidth="1"/>
    <col min="19" max="19" width="18.375" customWidth="1"/>
    <col min="20" max="20" width="8.5" customWidth="1"/>
  </cols>
  <sheetData>
    <row r="1" spans="1:15" ht="15">
      <c r="A1" s="1" t="s">
        <v>0</v>
      </c>
    </row>
    <row r="2" spans="1:15" ht="15">
      <c r="A2" s="1"/>
    </row>
    <row r="4" spans="1:15" ht="85.5">
      <c r="A4" s="4" t="s">
        <v>27</v>
      </c>
      <c r="B4" s="6" t="s">
        <v>28</v>
      </c>
      <c r="C4" s="4" t="s">
        <v>45</v>
      </c>
      <c r="D4" s="4" t="s">
        <v>64</v>
      </c>
      <c r="E4" s="4" t="s">
        <v>65</v>
      </c>
      <c r="F4" s="6" t="s">
        <v>66</v>
      </c>
      <c r="G4" s="4" t="s">
        <v>67</v>
      </c>
      <c r="H4" s="4" t="s">
        <v>68</v>
      </c>
      <c r="I4" s="4" t="s">
        <v>69</v>
      </c>
      <c r="J4" s="4" t="s">
        <v>70</v>
      </c>
      <c r="K4" s="4" t="s">
        <v>71</v>
      </c>
      <c r="L4" s="6" t="s">
        <v>72</v>
      </c>
      <c r="M4" s="4" t="s">
        <v>73</v>
      </c>
      <c r="N4" s="6" t="s">
        <v>74</v>
      </c>
      <c r="O4" s="6" t="s">
        <v>75</v>
      </c>
    </row>
    <row r="5" spans="1:15">
      <c r="A5" s="5">
        <v>4</v>
      </c>
      <c r="B5" s="5" t="str">
        <f>VLOOKUP(A5,Instrucciones!$A$36:$B$41,2)</f>
        <v>Hail</v>
      </c>
      <c r="C5" t="s">
        <v>76</v>
      </c>
      <c r="D5" t="str">
        <f>IFERROR(LEFT(C5,FIND("Suite",C5)-1),IFERROR(LEFT(C5,FIND("Unit",C5)-1),C5))</f>
        <v>185 Pink Avenue</v>
      </c>
      <c r="E5" s="56" t="str">
        <f>IFERROR(CONCATENATE(LEFT(D5,FIND("-", D5)-1),RIGHT(D5,LEN(D5) -FIND(" ", D5)+1)),D5)</f>
        <v>185 Pink Avenue</v>
      </c>
      <c r="F5" s="56" t="str">
        <f>IFERROR(RIGHT(E5,LEN(E5)-SEARCH("#",E5)),E5)</f>
        <v>185 Pink Avenue</v>
      </c>
      <c r="G5" s="2" t="s">
        <v>77</v>
      </c>
      <c r="H5" s="3">
        <v>860987</v>
      </c>
      <c r="I5" s="3">
        <v>114900</v>
      </c>
      <c r="J5" s="3">
        <v>900848</v>
      </c>
      <c r="K5" s="3">
        <f>SUM(H5:J5)</f>
        <v>1876735</v>
      </c>
      <c r="L5" s="57">
        <f t="shared" ref="L5:L41" si="0">H5 + I5</f>
        <v>975887</v>
      </c>
      <c r="M5" s="2">
        <v>12</v>
      </c>
      <c r="N5" s="61">
        <f t="shared" ref="N5:N41" si="1">J5/(M5/12)</f>
        <v>900848</v>
      </c>
      <c r="O5" s="61">
        <f>Instrucciones!$B$84*(Datos!K5/Datos!$K$52)</f>
        <v>240505.24048031514</v>
      </c>
    </row>
    <row r="6" spans="1:15">
      <c r="A6" s="5">
        <v>3</v>
      </c>
      <c r="B6" s="5" t="str">
        <f>VLOOKUP(A6,Instrucciones!$A$36:$B$41,2)</f>
        <v>Flood</v>
      </c>
      <c r="C6" t="s">
        <v>78</v>
      </c>
      <c r="D6" t="str">
        <f t="shared" ref="D6:D51" si="2">IFERROR(LEFT(C6,FIND("Suite",C6)-1),IFERROR(LEFT(C6,FIND("Unit",C6)-1),C6))</f>
        <v>156 Brown St.</v>
      </c>
      <c r="E6" s="56" t="str">
        <f t="shared" ref="E5:E51" si="3">IFERROR(CONCATENATE(LEFT(D6,FIND("-", D6)-1),RIGHT(D6,LEN(D6) -FIND(" ", D6)+1)),D6)</f>
        <v>156 Brown St.</v>
      </c>
      <c r="F6" s="56" t="str">
        <f t="shared" ref="F6:F51" si="4">IFERROR(RIGHT(E6,LEN(E6)-SEARCH("#",E6)),E6)</f>
        <v>156 Brown St.</v>
      </c>
      <c r="G6" t="s">
        <v>79</v>
      </c>
      <c r="H6" s="3">
        <v>917141</v>
      </c>
      <c r="I6" s="3">
        <v>27120</v>
      </c>
      <c r="J6" s="3">
        <v>141633</v>
      </c>
      <c r="K6" s="3">
        <f t="shared" ref="K6:K9" si="5">SUM(H6:J6)</f>
        <v>1085894</v>
      </c>
      <c r="L6" s="57">
        <f t="shared" si="0"/>
        <v>944261</v>
      </c>
      <c r="M6" s="2">
        <v>24</v>
      </c>
      <c r="N6" s="61">
        <f t="shared" si="1"/>
        <v>70816.5</v>
      </c>
      <c r="O6" s="61">
        <f>Instrucciones!$B$84*(Datos!K6/Datos!$K$52)</f>
        <v>139158.27093656341</v>
      </c>
    </row>
    <row r="7" spans="1:15">
      <c r="A7" s="5">
        <v>6</v>
      </c>
      <c r="B7" s="5" t="str">
        <f>VLOOKUP(A7,Instrucciones!$A$36:$B$41,2)</f>
        <v>Other</v>
      </c>
      <c r="C7" t="s">
        <v>80</v>
      </c>
      <c r="D7" t="str">
        <f t="shared" si="2"/>
        <v>16 Green Blvd</v>
      </c>
      <c r="E7" s="56" t="str">
        <f t="shared" si="3"/>
        <v>16 Green Blvd</v>
      </c>
      <c r="F7" s="56" t="str">
        <f t="shared" si="4"/>
        <v>16 Green Blvd</v>
      </c>
      <c r="G7" t="s">
        <v>81</v>
      </c>
      <c r="H7" s="3">
        <v>617787</v>
      </c>
      <c r="I7" s="3">
        <v>255726</v>
      </c>
      <c r="J7" s="3">
        <v>37927</v>
      </c>
      <c r="K7" s="3">
        <f t="shared" si="5"/>
        <v>911440</v>
      </c>
      <c r="L7" s="57">
        <f t="shared" si="0"/>
        <v>873513</v>
      </c>
      <c r="M7" s="2">
        <v>12</v>
      </c>
      <c r="N7" s="61">
        <f t="shared" si="1"/>
        <v>37927</v>
      </c>
      <c r="O7" s="61">
        <f>Instrucciones!$B$84*(Datos!K7/Datos!$K$52)</f>
        <v>116801.8374375596</v>
      </c>
    </row>
    <row r="8" spans="1:15">
      <c r="A8" s="5">
        <v>3</v>
      </c>
      <c r="B8" s="5" t="str">
        <f>VLOOKUP(A8,Instrucciones!$A$36:$B$41,2)</f>
        <v>Flood</v>
      </c>
      <c r="C8" t="s">
        <v>82</v>
      </c>
      <c r="D8" t="str">
        <f t="shared" si="2"/>
        <v>195 Black Crescent</v>
      </c>
      <c r="E8" s="56" t="str">
        <f t="shared" si="3"/>
        <v>195 Black Crescent</v>
      </c>
      <c r="F8" s="56" t="str">
        <f t="shared" si="4"/>
        <v>195 Black Crescent</v>
      </c>
      <c r="G8" t="s">
        <v>83</v>
      </c>
      <c r="H8" s="3">
        <v>776704</v>
      </c>
      <c r="I8" s="3">
        <v>900785</v>
      </c>
      <c r="J8" s="3">
        <v>947733</v>
      </c>
      <c r="K8" s="3">
        <f t="shared" si="5"/>
        <v>2625222</v>
      </c>
      <c r="L8" s="57">
        <f t="shared" si="0"/>
        <v>1677489</v>
      </c>
      <c r="M8" s="2">
        <v>12</v>
      </c>
      <c r="N8" s="61">
        <f t="shared" si="1"/>
        <v>947733</v>
      </c>
      <c r="O8" s="61">
        <f>Instrucciones!$B$84*(Datos!K8/Datos!$K$52)</f>
        <v>336424.50768180587</v>
      </c>
    </row>
    <row r="9" spans="1:15">
      <c r="A9" s="5">
        <v>3</v>
      </c>
      <c r="B9" s="5" t="str">
        <f>VLOOKUP(A9,Instrucciones!$A$36:$B$41,2)</f>
        <v>Flood</v>
      </c>
      <c r="C9" t="s">
        <v>84</v>
      </c>
      <c r="D9" t="str">
        <f t="shared" si="2"/>
        <v xml:space="preserve">34 Yellow Ave </v>
      </c>
      <c r="E9" s="56" t="str">
        <f t="shared" si="3"/>
        <v xml:space="preserve">34 Yellow Ave </v>
      </c>
      <c r="F9" s="56" t="str">
        <f t="shared" si="4"/>
        <v xml:space="preserve">34 Yellow Ave </v>
      </c>
      <c r="G9" t="s">
        <v>85</v>
      </c>
      <c r="H9" s="3">
        <v>786044</v>
      </c>
      <c r="I9" s="3">
        <v>772642</v>
      </c>
      <c r="J9" s="3">
        <v>901396</v>
      </c>
      <c r="K9" s="3">
        <f t="shared" si="5"/>
        <v>2460082</v>
      </c>
      <c r="L9" s="57">
        <f t="shared" si="0"/>
        <v>1558686</v>
      </c>
      <c r="M9" s="2">
        <v>36</v>
      </c>
      <c r="N9" s="61">
        <f t="shared" si="1"/>
        <v>300465.33333333331</v>
      </c>
      <c r="O9" s="61">
        <f>Instrucciones!$B$84*(Datos!K9/Datos!$K$52)</f>
        <v>315261.67147268774</v>
      </c>
    </row>
    <row r="10" spans="1:15">
      <c r="A10" s="5">
        <v>4</v>
      </c>
      <c r="B10" s="5" t="str">
        <f>VLOOKUP(A10,Instrucciones!$A$36:$B$41,2)</f>
        <v>Hail</v>
      </c>
      <c r="C10" t="s">
        <v>86</v>
      </c>
      <c r="D10" t="str">
        <f t="shared" si="2"/>
        <v>#216 Pink Blvd</v>
      </c>
      <c r="E10" s="56" t="str">
        <f t="shared" si="3"/>
        <v>#216 Pink Blvd</v>
      </c>
      <c r="F10" s="56" t="str">
        <f t="shared" si="4"/>
        <v>216 Pink Blvd</v>
      </c>
      <c r="G10" t="s">
        <v>87</v>
      </c>
      <c r="H10" s="3">
        <v>685100</v>
      </c>
      <c r="I10" s="3">
        <v>416027</v>
      </c>
      <c r="J10" s="3">
        <v>409897</v>
      </c>
      <c r="K10" s="3">
        <f t="shared" ref="K10:K51" si="6">SUM(H10:J10)</f>
        <v>1511024</v>
      </c>
      <c r="L10" s="57">
        <f t="shared" si="0"/>
        <v>1101127</v>
      </c>
      <c r="M10" s="2">
        <v>36</v>
      </c>
      <c r="N10" s="61">
        <f t="shared" si="1"/>
        <v>136632.33333333334</v>
      </c>
      <c r="O10" s="61">
        <f>Instrucciones!$B$84*(Datos!K10/Datos!$K$52)</f>
        <v>193639.05425727536</v>
      </c>
    </row>
    <row r="11" spans="1:15">
      <c r="A11" s="5">
        <v>4</v>
      </c>
      <c r="B11" s="5" t="str">
        <f>VLOOKUP(A11,Instrucciones!$A$36:$B$41,2)</f>
        <v>Hail</v>
      </c>
      <c r="C11" t="s">
        <v>88</v>
      </c>
      <c r="D11" t="str">
        <f t="shared" si="2"/>
        <v>12-20 Black Way</v>
      </c>
      <c r="E11" s="56" t="str">
        <f>IFERROR(CONCATENATE(LEFT(D11,FIND("-", D11)-1),RIGHT(D11,LEN(D11) -FIND(" ", D11)+1)),D11)</f>
        <v>12 Black Way</v>
      </c>
      <c r="F11" s="56" t="str">
        <f t="shared" si="4"/>
        <v>12 Black Way</v>
      </c>
      <c r="G11" t="s">
        <v>89</v>
      </c>
      <c r="H11" s="3">
        <v>53956</v>
      </c>
      <c r="I11" s="3">
        <v>564252</v>
      </c>
      <c r="J11" s="3">
        <v>357928</v>
      </c>
      <c r="K11" s="3">
        <f t="shared" si="6"/>
        <v>976136</v>
      </c>
      <c r="L11" s="57">
        <f t="shared" si="0"/>
        <v>618208</v>
      </c>
      <c r="M11" s="2">
        <v>12</v>
      </c>
      <c r="N11" s="61">
        <f t="shared" si="1"/>
        <v>357928</v>
      </c>
      <c r="O11" s="61">
        <f>Instrucciones!$B$84*(Datos!K11/Datos!$K$52)</f>
        <v>125092.68672534636</v>
      </c>
    </row>
    <row r="12" spans="1:15">
      <c r="A12" s="5">
        <v>1</v>
      </c>
      <c r="B12" s="5" t="str">
        <f>VLOOKUP(A12,Instrucciones!$A$36:$B$41,2)</f>
        <v>Earthquake</v>
      </c>
      <c r="C12" t="s">
        <v>90</v>
      </c>
      <c r="D12" t="str">
        <f t="shared" si="2"/>
        <v>222 Purple Hill</v>
      </c>
      <c r="E12" s="56" t="str">
        <f t="shared" si="3"/>
        <v>222 Purple Hill</v>
      </c>
      <c r="F12" s="56" t="str">
        <f t="shared" si="4"/>
        <v>222 Purple Hill</v>
      </c>
      <c r="G12" t="s">
        <v>91</v>
      </c>
      <c r="H12" s="3">
        <v>819399</v>
      </c>
      <c r="I12" s="3">
        <v>693226</v>
      </c>
      <c r="J12" s="3">
        <v>598380</v>
      </c>
      <c r="K12" s="3">
        <f t="shared" si="6"/>
        <v>2111005</v>
      </c>
      <c r="L12" s="57">
        <f t="shared" si="0"/>
        <v>1512625</v>
      </c>
      <c r="M12" s="2">
        <v>12</v>
      </c>
      <c r="N12" s="61">
        <f>J12/(M12/12)</f>
        <v>598380</v>
      </c>
      <c r="O12" s="61">
        <f>Instrucciones!$B$84*(Datos!K12/Datos!$K$52)</f>
        <v>270527.14697607688</v>
      </c>
    </row>
    <row r="13" spans="1:15">
      <c r="A13" s="5">
        <v>4</v>
      </c>
      <c r="B13" s="5" t="str">
        <f>VLOOKUP(A13,Instrucciones!$A$36:$B$41,2)</f>
        <v>Hail</v>
      </c>
      <c r="C13" t="s">
        <v>92</v>
      </c>
      <c r="D13" t="str">
        <f t="shared" si="2"/>
        <v>97 Blue Crescent</v>
      </c>
      <c r="E13" s="56" t="str">
        <f t="shared" si="3"/>
        <v>97 Blue Crescent</v>
      </c>
      <c r="F13" s="56" t="str">
        <f t="shared" si="4"/>
        <v>97 Blue Crescent</v>
      </c>
      <c r="G13" t="s">
        <v>93</v>
      </c>
      <c r="H13" s="3">
        <v>71963</v>
      </c>
      <c r="I13" s="3">
        <v>368847</v>
      </c>
      <c r="J13" s="3">
        <v>933532</v>
      </c>
      <c r="K13" s="3">
        <f t="shared" si="6"/>
        <v>1374342</v>
      </c>
      <c r="L13" s="57">
        <f t="shared" si="0"/>
        <v>440810</v>
      </c>
      <c r="M13" s="2">
        <v>12</v>
      </c>
      <c r="N13" s="61">
        <f t="shared" si="1"/>
        <v>933532</v>
      </c>
      <c r="O13" s="61">
        <f>Instrucciones!$B$84*(Datos!K13/Datos!$K$52)</f>
        <v>176123.13577153796</v>
      </c>
    </row>
    <row r="14" spans="1:15">
      <c r="A14" s="5">
        <v>5</v>
      </c>
      <c r="B14" s="5" t="str">
        <f>VLOOKUP(A14,Instrucciones!$A$36:$B$41,2)</f>
        <v>Fire</v>
      </c>
      <c r="C14" t="s">
        <v>94</v>
      </c>
      <c r="D14" t="str">
        <f t="shared" si="2"/>
        <v>245 Yellow Ave</v>
      </c>
      <c r="E14" s="56" t="str">
        <f t="shared" si="3"/>
        <v>245 Yellow Ave</v>
      </c>
      <c r="F14" s="56" t="str">
        <f t="shared" si="4"/>
        <v>245 Yellow Ave</v>
      </c>
      <c r="G14" t="s">
        <v>95</v>
      </c>
      <c r="H14" s="3">
        <v>642162</v>
      </c>
      <c r="I14" s="3">
        <v>743470</v>
      </c>
      <c r="J14" s="3">
        <v>49574</v>
      </c>
      <c r="K14" s="3">
        <f t="shared" si="6"/>
        <v>1435206</v>
      </c>
      <c r="L14" s="57">
        <f t="shared" si="0"/>
        <v>1385632</v>
      </c>
      <c r="M14" s="2">
        <v>12</v>
      </c>
      <c r="N14" s="61">
        <f t="shared" si="1"/>
        <v>49574</v>
      </c>
      <c r="O14" s="61">
        <f>Instrucciones!$B$84*(Datos!K14/Datos!$K$52)</f>
        <v>183922.91088981193</v>
      </c>
    </row>
    <row r="15" spans="1:15">
      <c r="A15" s="5">
        <v>6</v>
      </c>
      <c r="B15" s="5" t="str">
        <f>VLOOKUP(A15,Instrucciones!$A$36:$B$41,2)</f>
        <v>Other</v>
      </c>
      <c r="C15" t="s">
        <v>96</v>
      </c>
      <c r="D15" t="str">
        <f t="shared" si="2"/>
        <v xml:space="preserve">180 Pink St </v>
      </c>
      <c r="E15" s="56" t="str">
        <f t="shared" si="3"/>
        <v xml:space="preserve">180 Pink St </v>
      </c>
      <c r="F15" s="56" t="str">
        <f t="shared" si="4"/>
        <v xml:space="preserve">180 Pink St </v>
      </c>
      <c r="G15" t="s">
        <v>97</v>
      </c>
      <c r="H15" s="3">
        <v>381832</v>
      </c>
      <c r="I15" s="3">
        <v>412069</v>
      </c>
      <c r="J15" s="3">
        <v>738365</v>
      </c>
      <c r="K15" s="3">
        <f t="shared" si="6"/>
        <v>1532266</v>
      </c>
      <c r="L15" s="57">
        <f t="shared" si="0"/>
        <v>793901</v>
      </c>
      <c r="M15" s="2">
        <v>18</v>
      </c>
      <c r="N15" s="61">
        <f t="shared" si="1"/>
        <v>492243.33333333331</v>
      </c>
      <c r="O15" s="61">
        <f>Instrucciones!$B$84*(Datos!K15/Datos!$K$52)</f>
        <v>196361.23523556101</v>
      </c>
    </row>
    <row r="16" spans="1:15">
      <c r="A16" s="5">
        <v>5</v>
      </c>
      <c r="B16" s="5" t="str">
        <f>VLOOKUP(A16,Instrucciones!$A$36:$B$41,2)</f>
        <v>Fire</v>
      </c>
      <c r="C16" t="s">
        <v>98</v>
      </c>
      <c r="D16" t="str">
        <f t="shared" si="2"/>
        <v>115 Purple Street</v>
      </c>
      <c r="E16" s="56" t="str">
        <f t="shared" si="3"/>
        <v>115 Purple Street</v>
      </c>
      <c r="F16" s="56" t="str">
        <f t="shared" si="4"/>
        <v>115 Purple Street</v>
      </c>
      <c r="G16" t="s">
        <v>99</v>
      </c>
      <c r="H16" s="3">
        <v>988790</v>
      </c>
      <c r="I16" s="3">
        <v>573087</v>
      </c>
      <c r="J16" s="3">
        <v>932111</v>
      </c>
      <c r="K16" s="3">
        <f t="shared" si="6"/>
        <v>2493988</v>
      </c>
      <c r="L16" s="57">
        <f t="shared" si="0"/>
        <v>1561877</v>
      </c>
      <c r="M16" s="2">
        <v>12</v>
      </c>
      <c r="N16" s="61">
        <f t="shared" si="1"/>
        <v>932111</v>
      </c>
      <c r="O16" s="61">
        <f>Instrucciones!$B$84*(Datos!K16/Datos!$K$52)</f>
        <v>319606.75518654479</v>
      </c>
    </row>
    <row r="17" spans="1:15">
      <c r="A17" s="5">
        <v>3</v>
      </c>
      <c r="B17" s="5" t="str">
        <f>VLOOKUP(A17,Instrucciones!$A$36:$B$41,2)</f>
        <v>Flood</v>
      </c>
      <c r="C17" t="s">
        <v>100</v>
      </c>
      <c r="D17" t="str">
        <f t="shared" si="2"/>
        <v xml:space="preserve">38 Blue Way </v>
      </c>
      <c r="E17" s="56" t="str">
        <f t="shared" si="3"/>
        <v xml:space="preserve">38 Blue Way </v>
      </c>
      <c r="F17" s="56" t="str">
        <f t="shared" si="4"/>
        <v xml:space="preserve">38 Blue Way </v>
      </c>
      <c r="G17" t="s">
        <v>101</v>
      </c>
      <c r="H17" s="3">
        <v>599171</v>
      </c>
      <c r="I17" s="3">
        <v>113365</v>
      </c>
      <c r="J17" s="3">
        <v>525330</v>
      </c>
      <c r="K17" s="3">
        <f t="shared" si="6"/>
        <v>1237866</v>
      </c>
      <c r="L17" s="57">
        <f t="shared" si="0"/>
        <v>712536</v>
      </c>
      <c r="M17" s="2">
        <v>12</v>
      </c>
      <c r="N17" s="61">
        <f t="shared" si="1"/>
        <v>525330</v>
      </c>
      <c r="O17" s="61">
        <f>Instrucciones!$B$84*(Datos!K17/Datos!$K$52)</f>
        <v>158633.61636693822</v>
      </c>
    </row>
    <row r="18" spans="1:15">
      <c r="A18" s="5">
        <v>2</v>
      </c>
      <c r="B18" s="5" t="str">
        <f>VLOOKUP(A18,Instrucciones!$A$36:$B$41,2)</f>
        <v>Windstorm</v>
      </c>
      <c r="C18" t="s">
        <v>102</v>
      </c>
      <c r="D18" t="str">
        <f t="shared" si="2"/>
        <v>250 Pink Blvd</v>
      </c>
      <c r="E18" s="56" t="str">
        <f t="shared" si="3"/>
        <v>250 Pink Blvd</v>
      </c>
      <c r="F18" s="56" t="str">
        <f t="shared" si="4"/>
        <v>250 Pink Blvd</v>
      </c>
      <c r="G18" t="s">
        <v>103</v>
      </c>
      <c r="H18" s="3">
        <v>399740</v>
      </c>
      <c r="I18" s="3">
        <v>997766</v>
      </c>
      <c r="J18" s="3">
        <v>998673</v>
      </c>
      <c r="K18" s="3">
        <f t="shared" si="6"/>
        <v>2396179</v>
      </c>
      <c r="L18" s="57">
        <f t="shared" si="0"/>
        <v>1397506</v>
      </c>
      <c r="M18" s="2">
        <v>12</v>
      </c>
      <c r="N18" s="61">
        <f t="shared" si="1"/>
        <v>998673</v>
      </c>
      <c r="O18" s="61">
        <f>Instrucciones!$B$84*(Datos!K18/Datos!$K$52)</f>
        <v>307072.44583219313</v>
      </c>
    </row>
    <row r="19" spans="1:15">
      <c r="A19" s="5">
        <v>6</v>
      </c>
      <c r="B19" s="5" t="str">
        <f>VLOOKUP(A19,Instrucciones!$A$36:$B$41,2)</f>
        <v>Other</v>
      </c>
      <c r="C19" t="s">
        <v>104</v>
      </c>
      <c r="D19" t="str">
        <f t="shared" si="2"/>
        <v>132-136 Orange Road</v>
      </c>
      <c r="E19" s="56" t="str">
        <f t="shared" si="3"/>
        <v>132 Orange Road</v>
      </c>
      <c r="F19" s="56" t="str">
        <f t="shared" si="4"/>
        <v>132 Orange Road</v>
      </c>
      <c r="G19" t="s">
        <v>105</v>
      </c>
      <c r="H19" s="3">
        <v>73001</v>
      </c>
      <c r="I19" s="3">
        <v>918657</v>
      </c>
      <c r="J19" s="3">
        <v>787616</v>
      </c>
      <c r="K19" s="3">
        <f t="shared" si="6"/>
        <v>1779274</v>
      </c>
      <c r="L19" s="57">
        <f t="shared" si="0"/>
        <v>991658</v>
      </c>
      <c r="M19" s="2">
        <v>12</v>
      </c>
      <c r="N19" s="61">
        <f t="shared" si="1"/>
        <v>787616</v>
      </c>
      <c r="O19" s="61">
        <f>Instrucciones!$B$84*(Datos!K19/Datos!$K$52)</f>
        <v>228015.52763196308</v>
      </c>
    </row>
    <row r="20" spans="1:15">
      <c r="A20" s="5">
        <v>6</v>
      </c>
      <c r="B20" s="5" t="str">
        <f>VLOOKUP(A20,Instrucciones!$A$36:$B$41,2)</f>
        <v>Other</v>
      </c>
      <c r="C20" t="s">
        <v>106</v>
      </c>
      <c r="D20" t="str">
        <f t="shared" si="2"/>
        <v>182 Black Way</v>
      </c>
      <c r="E20" s="56" t="str">
        <f t="shared" si="3"/>
        <v>182 Black Way</v>
      </c>
      <c r="F20" s="56" t="str">
        <f t="shared" si="4"/>
        <v>182 Black Way</v>
      </c>
      <c r="G20" t="s">
        <v>107</v>
      </c>
      <c r="H20" s="3">
        <v>110090</v>
      </c>
      <c r="I20" s="3">
        <v>818257</v>
      </c>
      <c r="J20" s="3">
        <v>991061</v>
      </c>
      <c r="K20" s="3">
        <f t="shared" si="6"/>
        <v>1919408</v>
      </c>
      <c r="L20" s="57">
        <f t="shared" si="0"/>
        <v>928347</v>
      </c>
      <c r="M20" s="2">
        <v>12</v>
      </c>
      <c r="N20" s="61">
        <f t="shared" si="1"/>
        <v>991061</v>
      </c>
      <c r="O20" s="61">
        <f>Instrucciones!$B$84*(Datos!K20/Datos!$K$52)</f>
        <v>245973.82295307581</v>
      </c>
    </row>
    <row r="21" spans="1:15">
      <c r="A21" s="5">
        <v>5</v>
      </c>
      <c r="B21" s="5" t="str">
        <f>VLOOKUP(A21,Instrucciones!$A$36:$B$41,2)</f>
        <v>Fire</v>
      </c>
      <c r="C21" t="s">
        <v>108</v>
      </c>
      <c r="D21" t="str">
        <f t="shared" si="2"/>
        <v>210 Blue Crescent</v>
      </c>
      <c r="E21" s="56" t="str">
        <f t="shared" si="3"/>
        <v>210 Blue Crescent</v>
      </c>
      <c r="F21" s="56" t="str">
        <f t="shared" si="4"/>
        <v>210 Blue Crescent</v>
      </c>
      <c r="G21" t="s">
        <v>109</v>
      </c>
      <c r="H21" s="3">
        <v>649515</v>
      </c>
      <c r="I21" s="3">
        <v>595210</v>
      </c>
      <c r="J21" s="3">
        <v>903421</v>
      </c>
      <c r="K21" s="3">
        <f t="shared" si="6"/>
        <v>2148146</v>
      </c>
      <c r="L21" s="57">
        <f t="shared" si="0"/>
        <v>1244725</v>
      </c>
      <c r="M21" s="2">
        <v>12</v>
      </c>
      <c r="N21" s="61">
        <f t="shared" si="1"/>
        <v>903421</v>
      </c>
      <c r="O21" s="61">
        <f>Instrucciones!$B$84*(Datos!K21/Datos!$K$52)</f>
        <v>275286.79878449917</v>
      </c>
    </row>
    <row r="22" spans="1:15">
      <c r="A22" s="5">
        <v>6</v>
      </c>
      <c r="B22" s="5" t="str">
        <f>VLOOKUP(A22,Instrucciones!$A$36:$B$41,2)</f>
        <v>Other</v>
      </c>
      <c r="C22" t="s">
        <v>110</v>
      </c>
      <c r="D22" t="str">
        <f t="shared" si="2"/>
        <v>213 Black Crescent</v>
      </c>
      <c r="E22" s="56" t="str">
        <f t="shared" si="3"/>
        <v>213 Black Crescent</v>
      </c>
      <c r="F22" s="56" t="str">
        <f t="shared" si="4"/>
        <v>213 Black Crescent</v>
      </c>
      <c r="G22" t="s">
        <v>111</v>
      </c>
      <c r="H22" s="3">
        <v>855188</v>
      </c>
      <c r="I22" s="3">
        <v>626326</v>
      </c>
      <c r="J22" s="3">
        <v>53986</v>
      </c>
      <c r="K22" s="3">
        <f t="shared" si="6"/>
        <v>1535500</v>
      </c>
      <c r="L22" s="57">
        <f t="shared" si="0"/>
        <v>1481514</v>
      </c>
      <c r="M22" s="2">
        <v>36</v>
      </c>
      <c r="N22" s="61">
        <f t="shared" si="1"/>
        <v>17995.333333333332</v>
      </c>
      <c r="O22" s="61">
        <f>Instrucciones!$B$84*(Datos!K22/Datos!$K$52)</f>
        <v>196775.6751792469</v>
      </c>
    </row>
    <row r="23" spans="1:15">
      <c r="A23" s="5">
        <v>5</v>
      </c>
      <c r="B23" s="5" t="str">
        <f>VLOOKUP(A23,Instrucciones!$A$36:$B$41,2)</f>
        <v>Fire</v>
      </c>
      <c r="C23" t="s">
        <v>112</v>
      </c>
      <c r="D23" t="str">
        <f t="shared" si="2"/>
        <v xml:space="preserve">51 Blue Street </v>
      </c>
      <c r="E23" s="56" t="str">
        <f t="shared" si="3"/>
        <v xml:space="preserve">51 Blue Street </v>
      </c>
      <c r="F23" s="56" t="str">
        <f t="shared" si="4"/>
        <v xml:space="preserve">51 Blue Street </v>
      </c>
      <c r="G23" t="s">
        <v>113</v>
      </c>
      <c r="H23" s="3">
        <v>802364</v>
      </c>
      <c r="I23" s="3">
        <v>316112</v>
      </c>
      <c r="J23" s="3">
        <v>815866</v>
      </c>
      <c r="K23" s="3">
        <f t="shared" si="6"/>
        <v>1934342</v>
      </c>
      <c r="L23" s="57">
        <f t="shared" si="0"/>
        <v>1118476</v>
      </c>
      <c r="M23" s="2">
        <v>36</v>
      </c>
      <c r="N23" s="61">
        <f t="shared" si="1"/>
        <v>271955.33333333331</v>
      </c>
      <c r="O23" s="61">
        <f>Instrucciones!$B$84*(Datos!K23/Datos!$K$52)</f>
        <v>247887.62818467911</v>
      </c>
    </row>
    <row r="24" spans="1:15">
      <c r="A24" s="5">
        <v>6</v>
      </c>
      <c r="B24" s="5" t="str">
        <f>VLOOKUP(A24,Instrucciones!$A$36:$B$41,2)</f>
        <v>Other</v>
      </c>
      <c r="C24" t="s">
        <v>114</v>
      </c>
      <c r="D24" t="str">
        <f t="shared" si="2"/>
        <v xml:space="preserve">227 Yellow Way </v>
      </c>
      <c r="E24" s="56" t="str">
        <f t="shared" si="3"/>
        <v xml:space="preserve">227 Yellow Way </v>
      </c>
      <c r="F24" s="56" t="str">
        <f t="shared" si="4"/>
        <v xml:space="preserve">227 Yellow Way </v>
      </c>
      <c r="G24" t="s">
        <v>115</v>
      </c>
      <c r="H24" s="3">
        <v>801679</v>
      </c>
      <c r="I24" s="3">
        <v>350321</v>
      </c>
      <c r="J24" s="3">
        <v>557708</v>
      </c>
      <c r="K24" s="3">
        <f t="shared" si="6"/>
        <v>1709708</v>
      </c>
      <c r="L24" s="57">
        <f t="shared" si="0"/>
        <v>1152000</v>
      </c>
      <c r="M24" s="2">
        <v>36</v>
      </c>
      <c r="N24" s="61">
        <f t="shared" si="1"/>
        <v>185902.66666666666</v>
      </c>
      <c r="O24" s="61">
        <f>Instrucciones!$B$84*(Datos!K24/Datos!$K$52)</f>
        <v>219100.58356194064</v>
      </c>
    </row>
    <row r="25" spans="1:15">
      <c r="A25" s="5">
        <v>5</v>
      </c>
      <c r="B25" s="5" t="str">
        <f>VLOOKUP(A25,Instrucciones!$A$36:$B$41,2)</f>
        <v>Fire</v>
      </c>
      <c r="C25" t="s">
        <v>116</v>
      </c>
      <c r="D25" t="str">
        <f t="shared" si="2"/>
        <v>215 Yellow Ave</v>
      </c>
      <c r="E25" s="56" t="str">
        <f t="shared" si="3"/>
        <v>215 Yellow Ave</v>
      </c>
      <c r="F25" s="56" t="str">
        <f t="shared" si="4"/>
        <v>215 Yellow Ave</v>
      </c>
      <c r="G25" t="s">
        <v>117</v>
      </c>
      <c r="H25" s="3">
        <v>819779</v>
      </c>
      <c r="I25" s="3">
        <v>288197</v>
      </c>
      <c r="J25" s="3">
        <v>213817</v>
      </c>
      <c r="K25" s="3">
        <f t="shared" si="6"/>
        <v>1321793</v>
      </c>
      <c r="L25" s="57">
        <f t="shared" si="0"/>
        <v>1107976</v>
      </c>
      <c r="M25" s="2">
        <v>12</v>
      </c>
      <c r="N25" s="61">
        <f t="shared" si="1"/>
        <v>213817</v>
      </c>
      <c r="O25" s="61">
        <f>Instrucciones!$B$84*(Datos!K25/Datos!$K$52)</f>
        <v>169388.93521471979</v>
      </c>
    </row>
    <row r="26" spans="1:15">
      <c r="A26" s="5">
        <v>3</v>
      </c>
      <c r="B26" s="5" t="str">
        <f>VLOOKUP(A26,Instrucciones!$A$36:$B$41,2)</f>
        <v>Flood</v>
      </c>
      <c r="C26" t="s">
        <v>118</v>
      </c>
      <c r="D26" t="str">
        <f t="shared" si="2"/>
        <v xml:space="preserve">14 Brown Crescent </v>
      </c>
      <c r="E26" s="56" t="str">
        <f t="shared" si="3"/>
        <v xml:space="preserve">14 Brown Crescent </v>
      </c>
      <c r="F26" s="56" t="str">
        <f t="shared" si="4"/>
        <v xml:space="preserve">14 Brown Crescent </v>
      </c>
      <c r="G26" t="s">
        <v>119</v>
      </c>
      <c r="H26" s="3">
        <v>416405</v>
      </c>
      <c r="I26" s="3">
        <v>673955</v>
      </c>
      <c r="J26" s="3">
        <v>15575</v>
      </c>
      <c r="K26" s="3">
        <f t="shared" si="6"/>
        <v>1105935</v>
      </c>
      <c r="L26" s="57">
        <f t="shared" si="0"/>
        <v>1090360</v>
      </c>
      <c r="M26" s="2">
        <v>12</v>
      </c>
      <c r="N26" s="61">
        <f t="shared" si="1"/>
        <v>15575</v>
      </c>
      <c r="O26" s="61">
        <f>Instrucciones!$B$84*(Datos!K26/Datos!$K$52)</f>
        <v>141726.54270879869</v>
      </c>
    </row>
    <row r="27" spans="1:15">
      <c r="A27" s="5">
        <v>2</v>
      </c>
      <c r="B27" s="5" t="str">
        <f>VLOOKUP(A27,Instrucciones!$A$36:$B$41,2)</f>
        <v>Windstorm</v>
      </c>
      <c r="C27" t="s">
        <v>120</v>
      </c>
      <c r="D27" t="str">
        <f t="shared" si="2"/>
        <v xml:space="preserve">177 Blue Ave </v>
      </c>
      <c r="E27" s="56" t="str">
        <f t="shared" si="3"/>
        <v xml:space="preserve">177 Blue Ave </v>
      </c>
      <c r="F27" s="56" t="str">
        <f t="shared" si="4"/>
        <v xml:space="preserve">177 Blue Ave </v>
      </c>
      <c r="G27" t="s">
        <v>121</v>
      </c>
      <c r="H27" s="3">
        <v>129325</v>
      </c>
      <c r="I27" s="3">
        <v>795377</v>
      </c>
      <c r="J27" s="3">
        <v>616367</v>
      </c>
      <c r="K27" s="3">
        <f t="shared" si="6"/>
        <v>1541069</v>
      </c>
      <c r="L27" s="57">
        <f t="shared" si="0"/>
        <v>924702</v>
      </c>
      <c r="M27" s="2">
        <v>12</v>
      </c>
      <c r="N27" s="61">
        <f t="shared" si="1"/>
        <v>616367</v>
      </c>
      <c r="O27" s="61">
        <f>Instrucciones!$B$84*(Datos!K27/Datos!$K$52)</f>
        <v>197489.3474261197</v>
      </c>
    </row>
    <row r="28" spans="1:15">
      <c r="A28" s="5">
        <v>3</v>
      </c>
      <c r="B28" s="5" t="str">
        <f>VLOOKUP(A28,Instrucciones!$A$36:$B$41,2)</f>
        <v>Flood</v>
      </c>
      <c r="C28" t="s">
        <v>122</v>
      </c>
      <c r="D28" t="str">
        <f t="shared" si="2"/>
        <v>61 Brown Way</v>
      </c>
      <c r="E28" s="56" t="str">
        <f t="shared" si="3"/>
        <v>61 Brown Way</v>
      </c>
      <c r="F28" s="56" t="str">
        <f t="shared" si="4"/>
        <v>61 Brown Way</v>
      </c>
      <c r="G28" t="s">
        <v>123</v>
      </c>
      <c r="H28" s="3">
        <v>754511</v>
      </c>
      <c r="I28" s="3">
        <v>249744</v>
      </c>
      <c r="J28" s="3">
        <v>679050</v>
      </c>
      <c r="K28" s="3">
        <f t="shared" si="6"/>
        <v>1683305</v>
      </c>
      <c r="L28" s="57">
        <f t="shared" si="0"/>
        <v>1004255</v>
      </c>
      <c r="M28" s="2">
        <v>12</v>
      </c>
      <c r="N28" s="61">
        <f t="shared" si="1"/>
        <v>679050</v>
      </c>
      <c r="O28" s="61">
        <f>Instrucciones!$B$84*(Datos!K28/Datos!$K$52)</f>
        <v>215717.01589554033</v>
      </c>
    </row>
    <row r="29" spans="1:15">
      <c r="A29" s="5">
        <v>3</v>
      </c>
      <c r="B29" s="5" t="str">
        <f>VLOOKUP(A29,Instrucciones!$A$36:$B$41,2)</f>
        <v>Flood</v>
      </c>
      <c r="C29" t="s">
        <v>124</v>
      </c>
      <c r="D29" t="str">
        <f t="shared" si="2"/>
        <v>71-80 Purple Blvd</v>
      </c>
      <c r="E29" s="56" t="str">
        <f t="shared" si="3"/>
        <v>71 Purple Blvd</v>
      </c>
      <c r="F29" s="56" t="str">
        <f t="shared" si="4"/>
        <v>71 Purple Blvd</v>
      </c>
      <c r="G29" t="s">
        <v>125</v>
      </c>
      <c r="H29" s="3">
        <v>250992</v>
      </c>
      <c r="I29" s="3">
        <v>744912</v>
      </c>
      <c r="J29" s="3">
        <v>85596</v>
      </c>
      <c r="K29" s="3">
        <f t="shared" si="6"/>
        <v>1081500</v>
      </c>
      <c r="L29" s="57">
        <f t="shared" si="0"/>
        <v>995904</v>
      </c>
      <c r="M29" s="2">
        <v>12</v>
      </c>
      <c r="N29" s="61">
        <f t="shared" si="1"/>
        <v>85596</v>
      </c>
      <c r="O29" s="61">
        <f>Instrucciones!$B$84*(Datos!K29/Datos!$K$52)</f>
        <v>138595.17597287885</v>
      </c>
    </row>
    <row r="30" spans="1:15">
      <c r="A30" s="5">
        <v>5</v>
      </c>
      <c r="B30" s="5" t="str">
        <f>VLOOKUP(A30,Instrucciones!$A$36:$B$41,2)</f>
        <v>Fire</v>
      </c>
      <c r="C30" t="s">
        <v>126</v>
      </c>
      <c r="D30" t="str">
        <f t="shared" si="2"/>
        <v>86 Orange Avenue</v>
      </c>
      <c r="E30" s="56" t="str">
        <f t="shared" si="3"/>
        <v>86 Orange Avenue</v>
      </c>
      <c r="F30" s="56" t="str">
        <f t="shared" si="4"/>
        <v>86 Orange Avenue</v>
      </c>
      <c r="G30" t="s">
        <v>127</v>
      </c>
      <c r="H30" s="3">
        <v>605058</v>
      </c>
      <c r="I30" s="3">
        <v>178831</v>
      </c>
      <c r="J30" s="3">
        <v>845362</v>
      </c>
      <c r="K30" s="3">
        <f t="shared" si="6"/>
        <v>1629251</v>
      </c>
      <c r="L30" s="57">
        <f t="shared" si="0"/>
        <v>783889</v>
      </c>
      <c r="M30" s="2">
        <v>12</v>
      </c>
      <c r="N30" s="61">
        <f t="shared" si="1"/>
        <v>845362</v>
      </c>
      <c r="O30" s="61">
        <f>Instrucciones!$B$84*(Datos!K30/Datos!$K$52)</f>
        <v>208789.94826536189</v>
      </c>
    </row>
    <row r="31" spans="1:15">
      <c r="A31" s="5">
        <v>5</v>
      </c>
      <c r="B31" s="5" t="str">
        <f>VLOOKUP(A31,Instrucciones!$A$36:$B$41,2)</f>
        <v>Fire</v>
      </c>
      <c r="C31" t="s">
        <v>128</v>
      </c>
      <c r="D31" t="str">
        <f t="shared" si="2"/>
        <v>202 Brown Crescent</v>
      </c>
      <c r="E31" s="56" t="str">
        <f t="shared" si="3"/>
        <v>202 Brown Crescent</v>
      </c>
      <c r="F31" s="56" t="str">
        <f t="shared" si="4"/>
        <v>202 Brown Crescent</v>
      </c>
      <c r="G31" t="s">
        <v>129</v>
      </c>
      <c r="H31" s="3">
        <v>305105</v>
      </c>
      <c r="I31" s="3">
        <v>642147</v>
      </c>
      <c r="J31" s="3">
        <v>712378</v>
      </c>
      <c r="K31" s="3">
        <f t="shared" si="6"/>
        <v>1659630</v>
      </c>
      <c r="L31" s="57">
        <f t="shared" si="0"/>
        <v>947252</v>
      </c>
      <c r="M31" s="2">
        <v>12</v>
      </c>
      <c r="N31" s="61">
        <f t="shared" si="1"/>
        <v>712378</v>
      </c>
      <c r="O31" s="61">
        <f>Instrucciones!$B$84*(Datos!K31/Datos!$K$52)</f>
        <v>212683.04382789548</v>
      </c>
    </row>
    <row r="32" spans="1:15">
      <c r="A32" s="5">
        <v>1</v>
      </c>
      <c r="B32" s="5" t="str">
        <f>VLOOKUP(A32,Instrucciones!$A$36:$B$41,2)</f>
        <v>Earthquake</v>
      </c>
      <c r="C32" t="s">
        <v>130</v>
      </c>
      <c r="D32" t="str">
        <f t="shared" si="2"/>
        <v>#69 Purple Crescent</v>
      </c>
      <c r="E32" s="56" t="str">
        <f t="shared" si="3"/>
        <v>#69 Purple Crescent</v>
      </c>
      <c r="F32" s="56" t="str">
        <f t="shared" si="4"/>
        <v>69 Purple Crescent</v>
      </c>
      <c r="G32" t="s">
        <v>131</v>
      </c>
      <c r="H32" s="3">
        <v>503763</v>
      </c>
      <c r="I32" s="3">
        <v>95136</v>
      </c>
      <c r="J32" s="3">
        <v>621836</v>
      </c>
      <c r="K32" s="3">
        <f t="shared" si="6"/>
        <v>1220735</v>
      </c>
      <c r="L32" s="57">
        <f t="shared" si="0"/>
        <v>598899</v>
      </c>
      <c r="M32" s="2">
        <v>12</v>
      </c>
      <c r="N32" s="61">
        <f t="shared" si="1"/>
        <v>621836</v>
      </c>
      <c r="O32" s="61">
        <f>Instrucciones!$B$84*(Datos!K32/Datos!$K$52)</f>
        <v>156438.26365349264</v>
      </c>
    </row>
    <row r="33" spans="1:15">
      <c r="A33" s="5">
        <v>6</v>
      </c>
      <c r="B33" s="5" t="str">
        <f>VLOOKUP(A33,Instrucciones!$A$36:$B$41,2)</f>
        <v>Other</v>
      </c>
      <c r="C33" t="s">
        <v>132</v>
      </c>
      <c r="D33" t="str">
        <f t="shared" si="2"/>
        <v>92 Blue Street</v>
      </c>
      <c r="E33" s="56" t="str">
        <f t="shared" si="3"/>
        <v>92 Blue Street</v>
      </c>
      <c r="F33" s="56" t="str">
        <f t="shared" si="4"/>
        <v>92 Blue Street</v>
      </c>
      <c r="G33" t="s">
        <v>133</v>
      </c>
      <c r="H33" s="3">
        <v>940037</v>
      </c>
      <c r="I33" s="3">
        <v>652789</v>
      </c>
      <c r="J33" s="3">
        <v>128281</v>
      </c>
      <c r="K33" s="3">
        <f t="shared" si="6"/>
        <v>1721107</v>
      </c>
      <c r="L33" s="57">
        <f t="shared" si="0"/>
        <v>1592826</v>
      </c>
      <c r="M33" s="2">
        <v>12</v>
      </c>
      <c r="N33" s="61">
        <f t="shared" si="1"/>
        <v>128281</v>
      </c>
      <c r="O33" s="61">
        <f>Instrucciones!$B$84*(Datos!K33/Datos!$K$52)</f>
        <v>220561.37543518597</v>
      </c>
    </row>
    <row r="34" spans="1:15">
      <c r="A34" s="5">
        <v>5</v>
      </c>
      <c r="B34" s="5" t="str">
        <f>VLOOKUP(A34,Instrucciones!$A$36:$B$41,2)</f>
        <v>Fire</v>
      </c>
      <c r="C34" t="s">
        <v>134</v>
      </c>
      <c r="D34" t="str">
        <f t="shared" si="2"/>
        <v xml:space="preserve">185 White Crescent </v>
      </c>
      <c r="E34" s="56" t="str">
        <f t="shared" si="3"/>
        <v xml:space="preserve">185 White Crescent </v>
      </c>
      <c r="F34" s="56" t="str">
        <f t="shared" si="4"/>
        <v xml:space="preserve">185 White Crescent </v>
      </c>
      <c r="G34" t="s">
        <v>135</v>
      </c>
      <c r="H34" s="3">
        <v>631182</v>
      </c>
      <c r="I34" s="3">
        <v>97640</v>
      </c>
      <c r="J34" s="3">
        <v>570699</v>
      </c>
      <c r="K34" s="3">
        <f t="shared" si="6"/>
        <v>1299521</v>
      </c>
      <c r="L34" s="57">
        <f t="shared" si="0"/>
        <v>728822</v>
      </c>
      <c r="M34" s="2">
        <v>18</v>
      </c>
      <c r="N34" s="61">
        <f t="shared" si="1"/>
        <v>380466</v>
      </c>
      <c r="O34" s="61">
        <f>Instrucciones!$B$84*(Datos!K34/Datos!$K$52)</f>
        <v>166534.75883074573</v>
      </c>
    </row>
    <row r="35" spans="1:15">
      <c r="A35" s="5">
        <v>5</v>
      </c>
      <c r="B35" s="5" t="str">
        <f>VLOOKUP(A35,Instrucciones!$A$36:$B$41,2)</f>
        <v>Fire</v>
      </c>
      <c r="C35" t="s">
        <v>136</v>
      </c>
      <c r="D35" t="str">
        <f t="shared" si="2"/>
        <v>29 Brown Crescent</v>
      </c>
      <c r="E35" s="56" t="str">
        <f t="shared" si="3"/>
        <v>29 Brown Crescent</v>
      </c>
      <c r="F35" s="56" t="str">
        <f t="shared" si="4"/>
        <v>29 Brown Crescent</v>
      </c>
      <c r="G35" t="s">
        <v>137</v>
      </c>
      <c r="H35" s="3">
        <v>273099</v>
      </c>
      <c r="I35" s="3">
        <v>162850</v>
      </c>
      <c r="J35" s="3">
        <v>300656</v>
      </c>
      <c r="K35" s="3">
        <f t="shared" si="6"/>
        <v>736605</v>
      </c>
      <c r="L35" s="57">
        <f t="shared" si="0"/>
        <v>435949</v>
      </c>
      <c r="M35" s="2">
        <v>18</v>
      </c>
      <c r="N35" s="61">
        <f t="shared" si="1"/>
        <v>200437.33333333334</v>
      </c>
      <c r="O35" s="61">
        <f>Instrucciones!$B$84*(Datos!K35/Datos!$K$52)</f>
        <v>94396.578453538998</v>
      </c>
    </row>
    <row r="36" spans="1:15">
      <c r="A36" s="5">
        <v>2</v>
      </c>
      <c r="B36" s="5" t="str">
        <f>VLOOKUP(A36,Instrucciones!$A$36:$B$41,2)</f>
        <v>Windstorm</v>
      </c>
      <c r="C36" t="s">
        <v>138</v>
      </c>
      <c r="D36" t="str">
        <f t="shared" si="2"/>
        <v>248 Brown Blvd</v>
      </c>
      <c r="E36" s="56" t="str">
        <f t="shared" si="3"/>
        <v>248 Brown Blvd</v>
      </c>
      <c r="F36" s="56" t="str">
        <f t="shared" si="4"/>
        <v>248 Brown Blvd</v>
      </c>
      <c r="G36" t="s">
        <v>139</v>
      </c>
      <c r="H36" s="3">
        <v>914535</v>
      </c>
      <c r="I36" s="3">
        <v>216333</v>
      </c>
      <c r="J36" s="3">
        <v>759668</v>
      </c>
      <c r="K36" s="3">
        <f t="shared" si="6"/>
        <v>1890536</v>
      </c>
      <c r="L36" s="57">
        <f t="shared" si="0"/>
        <v>1130868</v>
      </c>
      <c r="M36" s="2">
        <v>18</v>
      </c>
      <c r="N36" s="61">
        <f t="shared" si="1"/>
        <v>506445.33333333331</v>
      </c>
      <c r="O36" s="61">
        <f>Instrucciones!$B$84*(Datos!K36/Datos!$K$52)</f>
        <v>242273.85076566116</v>
      </c>
    </row>
    <row r="37" spans="1:15">
      <c r="A37" s="5">
        <v>2</v>
      </c>
      <c r="B37" s="5" t="str">
        <f>VLOOKUP(A37,Instrucciones!$A$36:$B$41,2)</f>
        <v>Windstorm</v>
      </c>
      <c r="C37" t="s">
        <v>140</v>
      </c>
      <c r="D37" t="str">
        <f t="shared" si="2"/>
        <v>247 Pink Road</v>
      </c>
      <c r="E37" s="56" t="str">
        <f t="shared" si="3"/>
        <v>247 Pink Road</v>
      </c>
      <c r="F37" s="56" t="str">
        <f t="shared" si="4"/>
        <v>247 Pink Road</v>
      </c>
      <c r="G37" t="s">
        <v>141</v>
      </c>
      <c r="H37" s="3">
        <v>934287</v>
      </c>
      <c r="I37" s="3">
        <v>810034</v>
      </c>
      <c r="J37" s="3">
        <v>343346</v>
      </c>
      <c r="K37" s="3">
        <f t="shared" si="6"/>
        <v>2087667</v>
      </c>
      <c r="L37" s="57">
        <f t="shared" si="0"/>
        <v>1744321</v>
      </c>
      <c r="M37" s="2">
        <v>18</v>
      </c>
      <c r="N37" s="61">
        <f t="shared" si="1"/>
        <v>228897.33333333334</v>
      </c>
      <c r="O37" s="61">
        <f>Instrucciones!$B$84*(Datos!K37/Datos!$K$52)</f>
        <v>267536.36175475921</v>
      </c>
    </row>
    <row r="38" spans="1:15">
      <c r="A38" s="5">
        <v>5</v>
      </c>
      <c r="B38" s="5" t="str">
        <f>VLOOKUP(A38,Instrucciones!$A$36:$B$41,2)</f>
        <v>Fire</v>
      </c>
      <c r="C38" t="s">
        <v>142</v>
      </c>
      <c r="D38" t="str">
        <f t="shared" si="2"/>
        <v>22 Blue Avenue</v>
      </c>
      <c r="E38" s="56" t="str">
        <f t="shared" si="3"/>
        <v>22 Blue Avenue</v>
      </c>
      <c r="F38" s="56" t="str">
        <f t="shared" si="4"/>
        <v>22 Blue Avenue</v>
      </c>
      <c r="G38" t="s">
        <v>143</v>
      </c>
      <c r="H38" s="3">
        <v>553800</v>
      </c>
      <c r="I38" s="3">
        <v>945309</v>
      </c>
      <c r="J38" s="3">
        <v>141913</v>
      </c>
      <c r="K38" s="3">
        <f t="shared" si="6"/>
        <v>1641022</v>
      </c>
      <c r="L38" s="57">
        <f t="shared" si="0"/>
        <v>1499109</v>
      </c>
      <c r="M38" s="2">
        <v>18</v>
      </c>
      <c r="N38" s="61">
        <f t="shared" si="1"/>
        <v>94608.666666666672</v>
      </c>
      <c r="O38" s="61">
        <f>Instrucciones!$B$84*(Datos!K38/Datos!$K$52)</f>
        <v>210298.41226571024</v>
      </c>
    </row>
    <row r="39" spans="1:15">
      <c r="A39" s="5">
        <v>4</v>
      </c>
      <c r="B39" s="5" t="str">
        <f>VLOOKUP(A39,Instrucciones!$A$36:$B$41,2)</f>
        <v>Hail</v>
      </c>
      <c r="C39" t="s">
        <v>144</v>
      </c>
      <c r="D39" t="str">
        <f t="shared" si="2"/>
        <v>234 Yellow Way</v>
      </c>
      <c r="E39" s="56" t="str">
        <f t="shared" si="3"/>
        <v>234 Yellow Way</v>
      </c>
      <c r="F39" s="56" t="str">
        <f t="shared" si="4"/>
        <v>234 Yellow Way</v>
      </c>
      <c r="G39" t="s">
        <v>145</v>
      </c>
      <c r="H39" s="3">
        <v>743857</v>
      </c>
      <c r="I39" s="3">
        <v>824219</v>
      </c>
      <c r="J39" s="3">
        <v>617862</v>
      </c>
      <c r="K39" s="3">
        <f t="shared" si="6"/>
        <v>2185938</v>
      </c>
      <c r="L39" s="57">
        <f t="shared" si="0"/>
        <v>1568076</v>
      </c>
      <c r="M39" s="2">
        <v>18</v>
      </c>
      <c r="N39" s="61">
        <f t="shared" si="1"/>
        <v>411908</v>
      </c>
      <c r="O39" s="61">
        <f>Instrucciones!$B$84*(Datos!K39/Datos!$K$52)</f>
        <v>280129.87681535172</v>
      </c>
    </row>
    <row r="40" spans="1:15">
      <c r="A40" s="5">
        <v>5</v>
      </c>
      <c r="B40" s="5" t="str">
        <f>VLOOKUP(A40,Instrucciones!$A$36:$B$41,2)</f>
        <v>Fire</v>
      </c>
      <c r="C40" t="s">
        <v>146</v>
      </c>
      <c r="D40" t="str">
        <f t="shared" si="2"/>
        <v>12-13 White Way</v>
      </c>
      <c r="E40" s="56" t="str">
        <f t="shared" si="3"/>
        <v>12 White Way</v>
      </c>
      <c r="F40" s="56" t="str">
        <f t="shared" si="4"/>
        <v>12 White Way</v>
      </c>
      <c r="G40" t="s">
        <v>147</v>
      </c>
      <c r="H40" s="3">
        <v>24419</v>
      </c>
      <c r="I40" s="3">
        <v>888729</v>
      </c>
      <c r="J40" s="3">
        <v>875923</v>
      </c>
      <c r="K40" s="3">
        <f t="shared" si="6"/>
        <v>1789071</v>
      </c>
      <c r="L40" s="57">
        <f t="shared" si="0"/>
        <v>913148</v>
      </c>
      <c r="M40" s="2">
        <v>12</v>
      </c>
      <c r="N40" s="61">
        <f t="shared" si="1"/>
        <v>875923</v>
      </c>
      <c r="O40" s="61">
        <f>Instrucciones!$B$84*(Datos!K40/Datos!$K$52)</f>
        <v>229271.02179655511</v>
      </c>
    </row>
    <row r="41" spans="1:15">
      <c r="A41" s="5">
        <v>2</v>
      </c>
      <c r="B41" s="5" t="str">
        <f>VLOOKUP(A41,Instrucciones!$A$36:$B$41,2)</f>
        <v>Windstorm</v>
      </c>
      <c r="C41" t="s">
        <v>50</v>
      </c>
      <c r="D41" t="str">
        <f t="shared" si="2"/>
        <v xml:space="preserve">89 Brown Avenue </v>
      </c>
      <c r="E41" s="56" t="str">
        <f t="shared" si="3"/>
        <v xml:space="preserve">89 Brown Avenue </v>
      </c>
      <c r="F41" s="56" t="str">
        <f t="shared" si="4"/>
        <v xml:space="preserve">89 Brown Avenue </v>
      </c>
      <c r="G41" t="s">
        <v>148</v>
      </c>
      <c r="H41" s="3">
        <v>278687</v>
      </c>
      <c r="I41" s="3">
        <v>334073</v>
      </c>
      <c r="J41" s="3">
        <v>933846</v>
      </c>
      <c r="K41" s="3">
        <f t="shared" si="6"/>
        <v>1546606</v>
      </c>
      <c r="L41" s="57">
        <f t="shared" si="0"/>
        <v>612760</v>
      </c>
      <c r="M41" s="2">
        <v>12</v>
      </c>
      <c r="N41" s="61">
        <f t="shared" si="1"/>
        <v>933846</v>
      </c>
      <c r="O41" s="61">
        <f>Instrucciones!$B$84*(Datos!K41/Datos!$K$52)</f>
        <v>198198.91884485463</v>
      </c>
    </row>
    <row r="42" spans="1:15">
      <c r="A42" s="5">
        <v>1</v>
      </c>
      <c r="B42" s="5" t="str">
        <f>VLOOKUP(A42,Instrucciones!$A$36:$B$41,2)</f>
        <v>Earthquake</v>
      </c>
      <c r="C42" t="s">
        <v>149</v>
      </c>
      <c r="D42" t="str">
        <f t="shared" si="2"/>
        <v>203 Blue Road</v>
      </c>
      <c r="E42" s="56" t="str">
        <f t="shared" si="3"/>
        <v>203 Blue Road</v>
      </c>
      <c r="F42" s="56" t="str">
        <f t="shared" si="4"/>
        <v>203 Blue Road</v>
      </c>
      <c r="G42" t="s">
        <v>150</v>
      </c>
      <c r="H42" s="3">
        <v>465041</v>
      </c>
      <c r="I42" s="3">
        <v>89894</v>
      </c>
      <c r="J42" s="3">
        <v>587390</v>
      </c>
      <c r="K42" s="3">
        <f t="shared" si="6"/>
        <v>1142325</v>
      </c>
      <c r="L42" s="57">
        <f>H42 + I42</f>
        <v>554935</v>
      </c>
      <c r="M42" s="2">
        <v>12</v>
      </c>
      <c r="N42" s="61">
        <f>J42/(M42/12)</f>
        <v>587390</v>
      </c>
      <c r="O42" s="61">
        <f>Instrucciones!$B$84*(Datos!K42/Datos!$K$52)</f>
        <v>146389.95320685979</v>
      </c>
    </row>
    <row r="43" spans="1:15">
      <c r="A43" s="5">
        <v>3</v>
      </c>
      <c r="B43" s="5" t="str">
        <f>VLOOKUP(A43,Instrucciones!$A$36:$B$41,2)</f>
        <v>Flood</v>
      </c>
      <c r="C43" t="s">
        <v>151</v>
      </c>
      <c r="D43" t="str">
        <f t="shared" si="2"/>
        <v>28 Orange Road</v>
      </c>
      <c r="E43" s="56" t="str">
        <f t="shared" si="3"/>
        <v>28 Orange Road</v>
      </c>
      <c r="F43" s="56" t="str">
        <f t="shared" si="4"/>
        <v>28 Orange Road</v>
      </c>
      <c r="G43" t="s">
        <v>152</v>
      </c>
      <c r="H43" s="3">
        <v>210926</v>
      </c>
      <c r="I43" s="3">
        <v>876352</v>
      </c>
      <c r="J43" s="3">
        <v>124064</v>
      </c>
      <c r="K43" s="3">
        <f t="shared" si="6"/>
        <v>1211342</v>
      </c>
      <c r="L43" s="57">
        <f t="shared" ref="L43:L51" si="7">H43 + I43</f>
        <v>1087278</v>
      </c>
      <c r="M43" s="2">
        <v>12</v>
      </c>
      <c r="N43" s="61">
        <f t="shared" ref="N43:N51" si="8">J43/(M43/12)</f>
        <v>124064</v>
      </c>
      <c r="O43" s="61">
        <f>Instrucciones!$B$84*(Datos!K43/Datos!$K$52)</f>
        <v>155234.54244414149</v>
      </c>
    </row>
    <row r="44" spans="1:15">
      <c r="A44" s="5">
        <v>3</v>
      </c>
      <c r="B44" s="5" t="str">
        <f>VLOOKUP(A44,Instrucciones!$A$36:$B$41,2)</f>
        <v>Flood</v>
      </c>
      <c r="C44" t="s">
        <v>47</v>
      </c>
      <c r="D44" t="str">
        <f t="shared" si="2"/>
        <v>43-49 Brown St.</v>
      </c>
      <c r="E44" s="56" t="str">
        <f t="shared" si="3"/>
        <v>43 Brown St.</v>
      </c>
      <c r="F44" s="56" t="str">
        <f t="shared" si="4"/>
        <v>43 Brown St.</v>
      </c>
      <c r="G44" t="s">
        <v>153</v>
      </c>
      <c r="H44" s="3">
        <v>604729</v>
      </c>
      <c r="I44" s="3">
        <v>84466</v>
      </c>
      <c r="J44" s="3">
        <v>616433</v>
      </c>
      <c r="K44" s="3">
        <f t="shared" si="6"/>
        <v>1305628</v>
      </c>
      <c r="L44" s="57">
        <f t="shared" si="7"/>
        <v>689195</v>
      </c>
      <c r="M44" s="2">
        <v>12</v>
      </c>
      <c r="N44" s="61">
        <f t="shared" si="8"/>
        <v>616433</v>
      </c>
      <c r="O44" s="61">
        <f>Instrucciones!$B$84*(Datos!K44/Datos!$K$52)</f>
        <v>167317.37625068691</v>
      </c>
    </row>
    <row r="45" spans="1:15">
      <c r="A45" s="5">
        <v>2</v>
      </c>
      <c r="B45" s="5" t="str">
        <f>VLOOKUP(A45,Instrucciones!$A$36:$B$41,2)</f>
        <v>Windstorm</v>
      </c>
      <c r="C45" t="s">
        <v>154</v>
      </c>
      <c r="D45" t="str">
        <f t="shared" si="2"/>
        <v>228 Pink Avenue</v>
      </c>
      <c r="E45" s="56" t="str">
        <f t="shared" si="3"/>
        <v>228 Pink Avenue</v>
      </c>
      <c r="F45" s="56" t="str">
        <f t="shared" si="4"/>
        <v>228 Pink Avenue</v>
      </c>
      <c r="G45" t="s">
        <v>155</v>
      </c>
      <c r="H45" s="3">
        <v>585497</v>
      </c>
      <c r="I45" s="3">
        <v>889504</v>
      </c>
      <c r="J45" s="3">
        <v>128487</v>
      </c>
      <c r="K45" s="3">
        <f t="shared" si="6"/>
        <v>1603488</v>
      </c>
      <c r="L45" s="57">
        <f t="shared" si="7"/>
        <v>1475001</v>
      </c>
      <c r="M45" s="2">
        <v>12</v>
      </c>
      <c r="N45" s="61">
        <f t="shared" si="8"/>
        <v>128487</v>
      </c>
      <c r="O45" s="61">
        <f>Instrucciones!$B$84*(Datos!K45/Datos!$K$52)</f>
        <v>205488.39716171945</v>
      </c>
    </row>
    <row r="46" spans="1:15">
      <c r="A46" s="5">
        <v>4</v>
      </c>
      <c r="B46" s="5" t="str">
        <f>VLOOKUP(A46,Instrucciones!$A$36:$B$41,2)</f>
        <v>Hail</v>
      </c>
      <c r="C46" t="s">
        <v>156</v>
      </c>
      <c r="D46" t="str">
        <f t="shared" si="2"/>
        <v>141 Yellow Blvd</v>
      </c>
      <c r="E46" s="56" t="str">
        <f t="shared" si="3"/>
        <v>141 Yellow Blvd</v>
      </c>
      <c r="F46" s="56" t="str">
        <f t="shared" si="4"/>
        <v>141 Yellow Blvd</v>
      </c>
      <c r="G46" t="s">
        <v>157</v>
      </c>
      <c r="H46" s="3">
        <v>857867</v>
      </c>
      <c r="I46" s="3">
        <v>10970</v>
      </c>
      <c r="J46" s="3">
        <v>71560</v>
      </c>
      <c r="K46" s="3">
        <f t="shared" si="6"/>
        <v>940397</v>
      </c>
      <c r="L46" s="57">
        <f t="shared" si="7"/>
        <v>868837</v>
      </c>
      <c r="M46" s="2">
        <v>24</v>
      </c>
      <c r="N46" s="62">
        <f>J46/(M46/12)</f>
        <v>35780</v>
      </c>
      <c r="O46" s="61">
        <f>Instrucciones!$B$84*(Datos!K46/Datos!$K$52)</f>
        <v>120512.70244971555</v>
      </c>
    </row>
    <row r="47" spans="1:15">
      <c r="A47" s="5">
        <v>5</v>
      </c>
      <c r="B47" s="5" t="str">
        <f>VLOOKUP(A47,Instrucciones!$A$36:$B$41,2)</f>
        <v>Fire</v>
      </c>
      <c r="C47" t="s">
        <v>158</v>
      </c>
      <c r="D47" t="str">
        <f t="shared" si="2"/>
        <v>81 Blue Street</v>
      </c>
      <c r="E47" s="56" t="str">
        <f t="shared" si="3"/>
        <v>81 Blue Street</v>
      </c>
      <c r="F47" s="56" t="str">
        <f t="shared" si="4"/>
        <v>81 Blue Street</v>
      </c>
      <c r="G47" t="s">
        <v>159</v>
      </c>
      <c r="H47" s="3">
        <v>768065</v>
      </c>
      <c r="I47" s="3">
        <v>904615</v>
      </c>
      <c r="J47" s="3">
        <v>493017</v>
      </c>
      <c r="K47" s="3">
        <f t="shared" si="6"/>
        <v>2165697</v>
      </c>
      <c r="L47" s="57">
        <f t="shared" si="7"/>
        <v>1672680</v>
      </c>
      <c r="M47" s="2">
        <v>24</v>
      </c>
      <c r="N47" s="61">
        <f>J47/(M47/12)</f>
        <v>246508.5</v>
      </c>
      <c r="O47" s="61">
        <f>Instrucciones!$B$84*(Datos!K47/Datos!$K$52)</f>
        <v>277535.97486725461</v>
      </c>
    </row>
    <row r="48" spans="1:15">
      <c r="A48" s="5">
        <v>5</v>
      </c>
      <c r="B48" s="5" t="str">
        <f>VLOOKUP(A48,Instrucciones!$A$36:$B$41,2)</f>
        <v>Fire</v>
      </c>
      <c r="C48" t="s">
        <v>160</v>
      </c>
      <c r="D48" t="str">
        <f t="shared" si="2"/>
        <v>38 Blue Crescent</v>
      </c>
      <c r="E48" s="56" t="str">
        <f t="shared" si="3"/>
        <v>38 Blue Crescent</v>
      </c>
      <c r="F48" s="56" t="str">
        <f t="shared" si="4"/>
        <v>38 Blue Crescent</v>
      </c>
      <c r="G48" t="s">
        <v>161</v>
      </c>
      <c r="H48" s="3">
        <v>671312</v>
      </c>
      <c r="I48" s="3">
        <v>608993</v>
      </c>
      <c r="J48" s="3">
        <v>481648</v>
      </c>
      <c r="K48" s="3">
        <f t="shared" si="6"/>
        <v>1761953</v>
      </c>
      <c r="L48" s="57">
        <f t="shared" si="7"/>
        <v>1280305</v>
      </c>
      <c r="M48" s="2">
        <v>24</v>
      </c>
      <c r="N48" s="61">
        <f>J48/(M48/12)</f>
        <v>240824</v>
      </c>
      <c r="O48" s="61">
        <f>Instrucciones!$B$84*(Datos!K48/Datos!$K$52)</f>
        <v>225795.82625144877</v>
      </c>
    </row>
    <row r="49" spans="1:15">
      <c r="A49" s="5">
        <v>2</v>
      </c>
      <c r="B49" s="5" t="str">
        <f>VLOOKUP(A49,Instrucciones!$A$36:$B$41,2)</f>
        <v>Windstorm</v>
      </c>
      <c r="C49" t="s">
        <v>162</v>
      </c>
      <c r="D49" t="str">
        <f t="shared" si="2"/>
        <v>133 Orange Crescent</v>
      </c>
      <c r="E49" s="56" t="str">
        <f t="shared" si="3"/>
        <v>133 Orange Crescent</v>
      </c>
      <c r="F49" s="56" t="str">
        <f t="shared" si="4"/>
        <v>133 Orange Crescent</v>
      </c>
      <c r="G49" t="s">
        <v>163</v>
      </c>
      <c r="H49" s="3">
        <v>477070</v>
      </c>
      <c r="I49" s="3">
        <v>637457</v>
      </c>
      <c r="J49" s="3">
        <v>394527</v>
      </c>
      <c r="K49" s="3">
        <f t="shared" si="6"/>
        <v>1509054</v>
      </c>
      <c r="L49" s="57">
        <f>H49 + I49</f>
        <v>1114527</v>
      </c>
      <c r="M49" s="2">
        <v>24</v>
      </c>
      <c r="N49" s="61">
        <f>J49/(M49/12)</f>
        <v>197263.5</v>
      </c>
      <c r="O49" s="61">
        <f>Instrucciones!$B$84*(Datos!K49/Datos!$K$52)</f>
        <v>193386.59702503629</v>
      </c>
    </row>
    <row r="50" spans="1:15">
      <c r="A50" s="5">
        <v>3</v>
      </c>
      <c r="B50" s="5" t="str">
        <f>VLOOKUP(A50,Instrucciones!$A$36:$B$41,2)</f>
        <v>Flood</v>
      </c>
      <c r="C50" t="s">
        <v>164</v>
      </c>
      <c r="D50" t="str">
        <f t="shared" si="2"/>
        <v>10 Black Avenue</v>
      </c>
      <c r="E50" s="56" t="str">
        <f t="shared" si="3"/>
        <v>10 Black Avenue</v>
      </c>
      <c r="F50" s="56" t="str">
        <f t="shared" si="4"/>
        <v>10 Black Avenue</v>
      </c>
      <c r="G50" t="s">
        <v>165</v>
      </c>
      <c r="H50" s="3">
        <v>741836</v>
      </c>
      <c r="I50" s="3">
        <v>395516</v>
      </c>
      <c r="J50" s="3">
        <v>914708</v>
      </c>
      <c r="K50" s="3">
        <f t="shared" si="6"/>
        <v>2052060</v>
      </c>
      <c r="L50" s="57">
        <f t="shared" si="7"/>
        <v>1137352</v>
      </c>
      <c r="M50" s="2">
        <v>12</v>
      </c>
      <c r="N50" s="61">
        <f t="shared" si="8"/>
        <v>914708</v>
      </c>
      <c r="O50" s="61">
        <f>Instrucciones!$B$84*(Datos!K50/Datos!$K$52)</f>
        <v>262973.29339519725</v>
      </c>
    </row>
    <row r="51" spans="1:15">
      <c r="A51" s="5">
        <v>1</v>
      </c>
      <c r="B51" s="5" t="str">
        <f>VLOOKUP(A51,Instrucciones!$A$36:$B$41,2)</f>
        <v>Earthquake</v>
      </c>
      <c r="C51" t="s">
        <v>166</v>
      </c>
      <c r="D51" t="str">
        <f t="shared" si="2"/>
        <v>36 White Road</v>
      </c>
      <c r="E51" s="56" t="str">
        <f t="shared" si="3"/>
        <v>36 White Road</v>
      </c>
      <c r="F51" s="56" t="str">
        <f t="shared" si="4"/>
        <v>36 White Road</v>
      </c>
      <c r="G51" t="s">
        <v>167</v>
      </c>
      <c r="H51" s="3">
        <v>51206</v>
      </c>
      <c r="I51" s="3">
        <v>36507</v>
      </c>
      <c r="J51" s="3">
        <v>58308</v>
      </c>
      <c r="K51" s="3">
        <f t="shared" si="6"/>
        <v>146021</v>
      </c>
      <c r="L51" s="57">
        <f t="shared" si="7"/>
        <v>87713</v>
      </c>
      <c r="M51" s="2">
        <v>12</v>
      </c>
      <c r="N51" s="61">
        <f t="shared" si="8"/>
        <v>58308</v>
      </c>
      <c r="O51" s="61">
        <f>Instrucciones!$B$84*(Datos!K51/Datos!$K$52)</f>
        <v>18712.719547605866</v>
      </c>
    </row>
    <row r="52" spans="1:15" ht="15">
      <c r="G52" s="15" t="s">
        <v>168</v>
      </c>
      <c r="H52" s="18">
        <v>26405003</v>
      </c>
      <c r="I52" s="18">
        <v>23712714</v>
      </c>
      <c r="J52" s="18">
        <v>24915302</v>
      </c>
      <c r="K52" s="18">
        <v>78033019</v>
      </c>
      <c r="L52" s="18">
        <f>SUM(L5:L51)</f>
        <v>50117717</v>
      </c>
      <c r="N52" s="18">
        <f>SUM(N5:N51)</f>
        <v>21140704.5</v>
      </c>
      <c r="O52" s="18">
        <f>SUM(O5:O51)</f>
        <v>9615547.3620724548</v>
      </c>
    </row>
  </sheetData>
  <autoFilter ref="A4:O52" xr:uid="{83B798D7-A633-4476-BC3D-332B9751279A}"/>
  <sortState xmlns:xlrd2="http://schemas.microsoft.com/office/spreadsheetml/2017/richdata2" ref="Q16:R62">
    <sortCondition ref="Q16:Q62"/>
  </sortState>
  <pageMargins left="0.7" right="0.7" top="0.75" bottom="0.75" header="0.3" footer="0.3"/>
  <headerFooter>
    <oddHeader>&amp;R&amp;"Calibri"&amp;10&amp;K0000FF Confidential &amp;1#_x000D_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188DA-332F-4BE9-86D8-349220A5BD48}">
  <sheetPr codeName="Sheet3"/>
  <dimension ref="A1:H11"/>
  <sheetViews>
    <sheetView zoomScale="85" zoomScaleNormal="85" workbookViewId="0">
      <selection activeCell="B4" sqref="B4"/>
    </sheetView>
  </sheetViews>
  <sheetFormatPr defaultColWidth="8.625" defaultRowHeight="13.9"/>
  <cols>
    <col min="2" max="2" width="31.125" bestFit="1" customWidth="1"/>
    <col min="3" max="3" width="18.875" bestFit="1" customWidth="1"/>
    <col min="4" max="4" width="21" bestFit="1" customWidth="1"/>
    <col min="5" max="7" width="15.375" bestFit="1" customWidth="1"/>
    <col min="8" max="8" width="25.5" bestFit="1" customWidth="1"/>
    <col min="9" max="11" width="15.375" bestFit="1" customWidth="1"/>
    <col min="12" max="12" width="25.5" bestFit="1" customWidth="1"/>
    <col min="13" max="13" width="21" bestFit="1" customWidth="1"/>
    <col min="14" max="16" width="15.375" bestFit="1" customWidth="1"/>
    <col min="17" max="17" width="25.5" bestFit="1" customWidth="1"/>
    <col min="18" max="18" width="31.125" bestFit="1" customWidth="1"/>
    <col min="19" max="21" width="15.375" bestFit="1" customWidth="1"/>
    <col min="22" max="22" width="25.5" bestFit="1" customWidth="1"/>
    <col min="23" max="23" width="21" bestFit="1" customWidth="1"/>
    <col min="24" max="26" width="15.375" bestFit="1" customWidth="1"/>
    <col min="27" max="27" width="25.5" bestFit="1" customWidth="1"/>
    <col min="28" max="28" width="29.375" bestFit="1" customWidth="1"/>
    <col min="29" max="31" width="15.375" bestFit="1" customWidth="1"/>
    <col min="32" max="32" width="25.5" bestFit="1" customWidth="1"/>
    <col min="33" max="33" width="21" bestFit="1" customWidth="1"/>
    <col min="34" max="36" width="15.375" bestFit="1" customWidth="1"/>
    <col min="37" max="37" width="25.5" bestFit="1" customWidth="1"/>
    <col min="38" max="38" width="21" bestFit="1" customWidth="1"/>
    <col min="39" max="41" width="15.375" bestFit="1" customWidth="1"/>
    <col min="42" max="42" width="25.5" bestFit="1" customWidth="1"/>
    <col min="43" max="43" width="21" bestFit="1" customWidth="1"/>
    <col min="44" max="46" width="15.375" bestFit="1" customWidth="1"/>
    <col min="47" max="47" width="25.5" bestFit="1" customWidth="1"/>
    <col min="48" max="48" width="21" bestFit="1" customWidth="1"/>
    <col min="49" max="51" width="15.375" bestFit="1" customWidth="1"/>
    <col min="52" max="52" width="25.5" bestFit="1" customWidth="1"/>
    <col min="53" max="53" width="27.75" bestFit="1" customWidth="1"/>
    <col min="54" max="56" width="15.375" bestFit="1" customWidth="1"/>
    <col min="57" max="57" width="25.5" bestFit="1" customWidth="1"/>
    <col min="58" max="58" width="21" bestFit="1" customWidth="1"/>
    <col min="59" max="61" width="15.375" bestFit="1" customWidth="1"/>
    <col min="62" max="62" width="25.5" bestFit="1" customWidth="1"/>
    <col min="63" max="63" width="23.375" bestFit="1" customWidth="1"/>
    <col min="64" max="66" width="15.375" bestFit="1" customWidth="1"/>
    <col min="67" max="67" width="25.5" bestFit="1" customWidth="1"/>
    <col min="68" max="68" width="21" bestFit="1" customWidth="1"/>
    <col min="69" max="71" width="15.375" bestFit="1" customWidth="1"/>
    <col min="72" max="72" width="25.5" bestFit="1" customWidth="1"/>
    <col min="73" max="73" width="35.875" bestFit="1" customWidth="1"/>
    <col min="74" max="76" width="15.375" bestFit="1" customWidth="1"/>
    <col min="77" max="77" width="25.5" bestFit="1" customWidth="1"/>
    <col min="78" max="78" width="21" bestFit="1" customWidth="1"/>
    <col min="79" max="81" width="15.375" bestFit="1" customWidth="1"/>
    <col min="82" max="82" width="25.5" bestFit="1" customWidth="1"/>
    <col min="83" max="83" width="21" bestFit="1" customWidth="1"/>
    <col min="84" max="86" width="15.375" bestFit="1" customWidth="1"/>
    <col min="87" max="87" width="25.5" bestFit="1" customWidth="1"/>
    <col min="88" max="88" width="21" bestFit="1" customWidth="1"/>
    <col min="89" max="91" width="15.375" bestFit="1" customWidth="1"/>
    <col min="92" max="92" width="25.5" bestFit="1" customWidth="1"/>
    <col min="93" max="93" width="21" bestFit="1" customWidth="1"/>
    <col min="94" max="96" width="15.375" bestFit="1" customWidth="1"/>
    <col min="97" max="97" width="25.5" bestFit="1" customWidth="1"/>
    <col min="98" max="98" width="21" bestFit="1" customWidth="1"/>
    <col min="99" max="101" width="15.375" bestFit="1" customWidth="1"/>
    <col min="102" max="102" width="25.5" bestFit="1" customWidth="1"/>
    <col min="103" max="103" width="21" bestFit="1" customWidth="1"/>
    <col min="104" max="106" width="15.375" bestFit="1" customWidth="1"/>
    <col min="107" max="107" width="25.5" bestFit="1" customWidth="1"/>
    <col min="108" max="108" width="27" bestFit="1" customWidth="1"/>
    <col min="109" max="111" width="15.375" bestFit="1" customWidth="1"/>
    <col min="112" max="112" width="25.5" bestFit="1" customWidth="1"/>
    <col min="113" max="113" width="21" bestFit="1" customWidth="1"/>
    <col min="114" max="116" width="15.375" bestFit="1" customWidth="1"/>
    <col min="117" max="117" width="25.5" bestFit="1" customWidth="1"/>
    <col min="118" max="118" width="27.375" bestFit="1" customWidth="1"/>
    <col min="119" max="121" width="15.375" bestFit="1" customWidth="1"/>
    <col min="122" max="122" width="25.5" bestFit="1" customWidth="1"/>
    <col min="123" max="123" width="32" bestFit="1" customWidth="1"/>
    <col min="124" max="126" width="15.375" bestFit="1" customWidth="1"/>
    <col min="127" max="127" width="25.5" bestFit="1" customWidth="1"/>
    <col min="128" max="128" width="35.75" bestFit="1" customWidth="1"/>
    <col min="129" max="131" width="15.375" bestFit="1" customWidth="1"/>
    <col min="132" max="132" width="25.5" bestFit="1" customWidth="1"/>
    <col min="133" max="133" width="21" bestFit="1" customWidth="1"/>
    <col min="134" max="136" width="15.375" bestFit="1" customWidth="1"/>
    <col min="137" max="137" width="25.5" bestFit="1" customWidth="1"/>
    <col min="138" max="138" width="21" bestFit="1" customWidth="1"/>
    <col min="139" max="141" width="15.375" bestFit="1" customWidth="1"/>
    <col min="142" max="142" width="25.5" bestFit="1" customWidth="1"/>
    <col min="143" max="143" width="21" bestFit="1" customWidth="1"/>
    <col min="144" max="146" width="15.375" bestFit="1" customWidth="1"/>
    <col min="147" max="147" width="25.5" bestFit="1" customWidth="1"/>
    <col min="148" max="148" width="21" bestFit="1" customWidth="1"/>
    <col min="149" max="151" width="15.375" bestFit="1" customWidth="1"/>
    <col min="152" max="152" width="25.5" bestFit="1" customWidth="1"/>
    <col min="153" max="153" width="21" bestFit="1" customWidth="1"/>
    <col min="154" max="156" width="15.375" bestFit="1" customWidth="1"/>
    <col min="157" max="157" width="25.5" bestFit="1" customWidth="1"/>
    <col min="158" max="158" width="21" bestFit="1" customWidth="1"/>
    <col min="159" max="161" width="15.375" bestFit="1" customWidth="1"/>
    <col min="162" max="162" width="25.5" bestFit="1" customWidth="1"/>
    <col min="163" max="163" width="31" bestFit="1" customWidth="1"/>
    <col min="164" max="166" width="15.375" bestFit="1" customWidth="1"/>
    <col min="167" max="167" width="25.5" bestFit="1" customWidth="1"/>
    <col min="168" max="168" width="21" bestFit="1" customWidth="1"/>
    <col min="169" max="171" width="15.375" bestFit="1" customWidth="1"/>
    <col min="172" max="172" width="25.5" bestFit="1" customWidth="1"/>
    <col min="173" max="173" width="21" bestFit="1" customWidth="1"/>
    <col min="174" max="176" width="15.375" bestFit="1" customWidth="1"/>
    <col min="177" max="177" width="25.5" bestFit="1" customWidth="1"/>
    <col min="178" max="178" width="22.625" bestFit="1" customWidth="1"/>
    <col min="179" max="181" width="15.375" bestFit="1" customWidth="1"/>
    <col min="182" max="182" width="25.5" bestFit="1" customWidth="1"/>
    <col min="183" max="183" width="37.375" bestFit="1" customWidth="1"/>
    <col min="184" max="186" width="15.375" bestFit="1" customWidth="1"/>
    <col min="187" max="187" width="25.5" bestFit="1" customWidth="1"/>
    <col min="188" max="188" width="21" bestFit="1" customWidth="1"/>
    <col min="189" max="191" width="15.375" bestFit="1" customWidth="1"/>
    <col min="192" max="192" width="25.5" bestFit="1" customWidth="1"/>
    <col min="193" max="193" width="21" bestFit="1" customWidth="1"/>
    <col min="194" max="196" width="15.375" bestFit="1" customWidth="1"/>
    <col min="197" max="197" width="25.5" bestFit="1" customWidth="1"/>
    <col min="198" max="198" width="21" bestFit="1" customWidth="1"/>
    <col min="199" max="201" width="15.375" bestFit="1" customWidth="1"/>
    <col min="202" max="202" width="25.5" bestFit="1" customWidth="1"/>
    <col min="203" max="203" width="21" bestFit="1" customWidth="1"/>
    <col min="204" max="206" width="15.375" bestFit="1" customWidth="1"/>
    <col min="207" max="207" width="25.5" bestFit="1" customWidth="1"/>
    <col min="208" max="208" width="21" bestFit="1" customWidth="1"/>
    <col min="209" max="211" width="15.375" bestFit="1" customWidth="1"/>
    <col min="212" max="212" width="25.5" bestFit="1" customWidth="1"/>
    <col min="213" max="213" width="21" bestFit="1" customWidth="1"/>
    <col min="214" max="216" width="15.375" bestFit="1" customWidth="1"/>
    <col min="217" max="217" width="25.5" bestFit="1" customWidth="1"/>
    <col min="218" max="218" width="26.75" bestFit="1" customWidth="1"/>
    <col min="219" max="221" width="15.375" bestFit="1" customWidth="1"/>
    <col min="222" max="222" width="25.5" bestFit="1" customWidth="1"/>
    <col min="223" max="223" width="26.875" bestFit="1" customWidth="1"/>
    <col min="224" max="226" width="15.375" bestFit="1" customWidth="1"/>
    <col min="227" max="227" width="25.5" bestFit="1" customWidth="1"/>
    <col min="228" max="228" width="37.125" bestFit="1" customWidth="1"/>
    <col min="229" max="231" width="15.375" bestFit="1" customWidth="1"/>
    <col min="232" max="232" width="25.5" bestFit="1" customWidth="1"/>
    <col min="233" max="233" width="21" bestFit="1" customWidth="1"/>
    <col min="234" max="236" width="15.375" bestFit="1" customWidth="1"/>
    <col min="237" max="237" width="25.5" bestFit="1" customWidth="1"/>
    <col min="238" max="238" width="26" bestFit="1" customWidth="1"/>
    <col min="239" max="241" width="20.375" bestFit="1" customWidth="1"/>
    <col min="242" max="242" width="30.5" bestFit="1" customWidth="1"/>
  </cols>
  <sheetData>
    <row r="1" spans="1:8">
      <c r="A1" s="1" t="s">
        <v>169</v>
      </c>
    </row>
    <row r="4" spans="1:8">
      <c r="B4" s="59" t="s">
        <v>27</v>
      </c>
      <c r="C4" t="s">
        <v>170</v>
      </c>
      <c r="D4" t="s">
        <v>171</v>
      </c>
      <c r="E4" t="s">
        <v>172</v>
      </c>
      <c r="F4" t="s">
        <v>173</v>
      </c>
      <c r="G4" t="s">
        <v>174</v>
      </c>
      <c r="H4" t="s">
        <v>175</v>
      </c>
    </row>
    <row r="5" spans="1:8" ht="14.25">
      <c r="A5" s="58"/>
      <c r="B5">
        <v>1</v>
      </c>
      <c r="C5" s="60">
        <v>4</v>
      </c>
      <c r="D5" s="24">
        <v>4620086</v>
      </c>
      <c r="E5" s="24">
        <v>1839409</v>
      </c>
      <c r="F5" s="24">
        <v>914763</v>
      </c>
      <c r="G5" s="24">
        <v>1865914</v>
      </c>
      <c r="H5" s="60">
        <v>592068.08338403516</v>
      </c>
    </row>
    <row r="6" spans="1:8">
      <c r="B6">
        <v>2</v>
      </c>
      <c r="C6" s="60">
        <v>7</v>
      </c>
      <c r="D6" s="24">
        <v>12574599</v>
      </c>
      <c r="E6" s="24">
        <v>3719141</v>
      </c>
      <c r="F6" s="24">
        <v>4680544</v>
      </c>
      <c r="G6" s="24">
        <v>4174914</v>
      </c>
      <c r="H6" s="60">
        <v>1611445.9188103436</v>
      </c>
    </row>
    <row r="7" spans="1:8">
      <c r="B7">
        <v>3</v>
      </c>
      <c r="C7" s="60">
        <v>10</v>
      </c>
      <c r="D7" s="24">
        <v>15848834</v>
      </c>
      <c r="E7" s="24">
        <v>6058459</v>
      </c>
      <c r="F7" s="24">
        <v>4838857</v>
      </c>
      <c r="G7" s="24">
        <v>4951518</v>
      </c>
      <c r="H7" s="60">
        <v>2031042.0131252389</v>
      </c>
    </row>
    <row r="8" spans="1:8">
      <c r="B8">
        <v>4</v>
      </c>
      <c r="C8" s="60">
        <v>6</v>
      </c>
      <c r="D8" s="24">
        <v>8864572</v>
      </c>
      <c r="E8" s="24">
        <v>3273730</v>
      </c>
      <c r="F8" s="24">
        <v>2299215</v>
      </c>
      <c r="G8" s="24">
        <v>3291627</v>
      </c>
      <c r="H8" s="60">
        <v>1136002.6964995419</v>
      </c>
    </row>
    <row r="9" spans="1:8">
      <c r="B9">
        <v>5</v>
      </c>
      <c r="C9" s="60">
        <v>13</v>
      </c>
      <c r="D9" s="24">
        <v>22016225</v>
      </c>
      <c r="E9" s="24">
        <v>7734650</v>
      </c>
      <c r="F9" s="24">
        <v>6945190</v>
      </c>
      <c r="G9" s="24">
        <v>7336385</v>
      </c>
      <c r="H9" s="60">
        <v>2821398.5928187654</v>
      </c>
    </row>
    <row r="10" spans="1:8">
      <c r="B10">
        <v>6</v>
      </c>
      <c r="C10" s="60">
        <v>7</v>
      </c>
      <c r="D10" s="24">
        <v>11108703</v>
      </c>
      <c r="E10" s="24">
        <v>3779614</v>
      </c>
      <c r="F10" s="24">
        <v>4034145</v>
      </c>
      <c r="G10" s="24">
        <v>3294944</v>
      </c>
      <c r="H10" s="60">
        <v>1423590.0574345333</v>
      </c>
    </row>
    <row r="11" spans="1:8">
      <c r="B11" t="s">
        <v>176</v>
      </c>
      <c r="C11" s="60">
        <v>47</v>
      </c>
      <c r="D11" s="24">
        <v>75033019</v>
      </c>
      <c r="E11" s="24">
        <v>26405003</v>
      </c>
      <c r="F11" s="24">
        <v>23712714</v>
      </c>
      <c r="G11" s="24">
        <v>24915302</v>
      </c>
      <c r="H11" s="60">
        <v>9615547.3620724566</v>
      </c>
    </row>
  </sheetData>
  <pageMargins left="0.7" right="0.7" top="0.75" bottom="0.75" header="0.3" footer="0.3"/>
  <headerFooter>
    <oddHeader>&amp;R&amp;"Calibri"&amp;10&amp;K0000FF Confidential &amp;1#_x000D_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01724-F1E6-45A2-B7CB-34FDE6339886}">
  <sheetPr codeName="Sheet6"/>
  <dimension ref="A1:S52"/>
  <sheetViews>
    <sheetView zoomScale="85" zoomScaleNormal="85" workbookViewId="0">
      <pane ySplit="4" topLeftCell="A16" activePane="bottomLeft" state="frozen"/>
      <selection pane="bottomLeft" activeCell="D5" sqref="D5:D51"/>
    </sheetView>
  </sheetViews>
  <sheetFormatPr defaultColWidth="8.625" defaultRowHeight="13.9"/>
  <cols>
    <col min="2" max="2" width="10.25" bestFit="1" customWidth="1"/>
    <col min="3" max="4" width="21.375" customWidth="1"/>
    <col min="5" max="5" width="27.75" customWidth="1"/>
    <col min="6" max="9" width="11.75" customWidth="1"/>
    <col min="10" max="12" width="10.375" customWidth="1"/>
    <col min="13" max="13" width="10.625" customWidth="1"/>
    <col min="15" max="15" width="6.625" bestFit="1" customWidth="1"/>
    <col min="16" max="16" width="6.625" customWidth="1"/>
    <col min="17" max="19" width="6.625" bestFit="1" customWidth="1"/>
  </cols>
  <sheetData>
    <row r="1" spans="1:19">
      <c r="A1" s="1" t="s">
        <v>177</v>
      </c>
    </row>
    <row r="2" spans="1:19">
      <c r="A2" s="1"/>
    </row>
    <row r="4" spans="1:19" ht="55.15">
      <c r="A4" s="4" t="s">
        <v>178</v>
      </c>
      <c r="B4" s="6" t="s">
        <v>179</v>
      </c>
      <c r="C4" s="4" t="s">
        <v>180</v>
      </c>
      <c r="D4" s="6" t="s">
        <v>181</v>
      </c>
      <c r="E4" s="4" t="s">
        <v>67</v>
      </c>
      <c r="F4" s="4" t="s">
        <v>182</v>
      </c>
      <c r="G4" s="4" t="s">
        <v>183</v>
      </c>
      <c r="H4" s="4" t="s">
        <v>184</v>
      </c>
      <c r="I4" s="4" t="s">
        <v>185</v>
      </c>
      <c r="J4" s="6" t="s">
        <v>186</v>
      </c>
      <c r="K4" s="4" t="s">
        <v>187</v>
      </c>
      <c r="L4" s="6" t="s">
        <v>188</v>
      </c>
      <c r="M4" s="6" t="s">
        <v>189</v>
      </c>
      <c r="O4" s="26" t="s">
        <v>190</v>
      </c>
      <c r="P4" s="26" t="s">
        <v>191</v>
      </c>
      <c r="Q4" s="26" t="s">
        <v>192</v>
      </c>
      <c r="R4" s="26" t="s">
        <v>193</v>
      </c>
      <c r="S4" s="26" t="s">
        <v>194</v>
      </c>
    </row>
    <row r="5" spans="1:19">
      <c r="A5" s="5">
        <v>4</v>
      </c>
      <c r="B5" s="5" t="s">
        <v>32</v>
      </c>
      <c r="C5" t="s">
        <v>76</v>
      </c>
      <c r="D5" t="s">
        <v>76</v>
      </c>
      <c r="E5" s="2" t="s">
        <v>77</v>
      </c>
      <c r="F5" s="3">
        <v>860987</v>
      </c>
      <c r="G5" s="3">
        <v>114900</v>
      </c>
      <c r="H5" s="3">
        <v>900848</v>
      </c>
      <c r="I5" s="3">
        <f>SUM(F5:H5)</f>
        <v>1876735</v>
      </c>
      <c r="J5" s="24">
        <f>SUM(F5:G5)</f>
        <v>975887</v>
      </c>
      <c r="K5" s="2">
        <v>12</v>
      </c>
      <c r="L5" s="24">
        <f>H5/SUM(K5/12)</f>
        <v>900848</v>
      </c>
      <c r="M5" s="25">
        <f>I5/SUM($I$5:$I$51)*Instrucciones!$B$84</f>
        <v>250121.21663397283</v>
      </c>
      <c r="O5" t="b">
        <f>B5=Datos!B5</f>
        <v>1</v>
      </c>
      <c r="P5" t="b">
        <f>D5=TRIM(CLEAN(Datos!F5))</f>
        <v>1</v>
      </c>
      <c r="Q5" t="b">
        <f>J5=Datos!L5</f>
        <v>1</v>
      </c>
      <c r="R5" t="b">
        <f>L5=Datos!N5</f>
        <v>1</v>
      </c>
      <c r="S5" t="b">
        <f>M5=Datos!O5</f>
        <v>0</v>
      </c>
    </row>
    <row r="6" spans="1:19">
      <c r="A6" s="5">
        <v>3</v>
      </c>
      <c r="B6" s="5" t="s">
        <v>31</v>
      </c>
      <c r="C6" t="s">
        <v>78</v>
      </c>
      <c r="D6" t="s">
        <v>195</v>
      </c>
      <c r="E6" t="s">
        <v>79</v>
      </c>
      <c r="F6" s="3">
        <v>917141</v>
      </c>
      <c r="G6" s="3">
        <v>27120</v>
      </c>
      <c r="H6" s="3">
        <v>141633</v>
      </c>
      <c r="I6" s="3">
        <f t="shared" ref="I6:I51" si="0">SUM(F6:H6)</f>
        <v>1085894</v>
      </c>
      <c r="J6" s="24">
        <f t="shared" ref="J6:J51" si="1">SUM(F6:G6)</f>
        <v>944261</v>
      </c>
      <c r="K6" s="2">
        <v>24</v>
      </c>
      <c r="L6" s="24">
        <f t="shared" ref="L6:L51" si="2">H6/SUM(K6/12)</f>
        <v>70816.5</v>
      </c>
      <c r="M6" s="25">
        <f>I6/SUM($I$5:$I$51)*Instrucciones!$B$84</f>
        <v>144722.15225672847</v>
      </c>
      <c r="O6" t="b">
        <f>B6=Datos!B6</f>
        <v>1</v>
      </c>
      <c r="P6" t="b">
        <f>D6=TRIM(CLEAN(Datos!F6))</f>
        <v>0</v>
      </c>
      <c r="Q6" t="b">
        <f>J6=Datos!L6</f>
        <v>1</v>
      </c>
      <c r="R6" t="b">
        <f>L6=Datos!N6</f>
        <v>1</v>
      </c>
      <c r="S6" t="b">
        <f>M6=Datos!O6</f>
        <v>0</v>
      </c>
    </row>
    <row r="7" spans="1:19">
      <c r="A7" s="5">
        <v>6</v>
      </c>
      <c r="B7" s="5" t="s">
        <v>34</v>
      </c>
      <c r="C7" t="s">
        <v>80</v>
      </c>
      <c r="D7" t="s">
        <v>80</v>
      </c>
      <c r="E7" t="s">
        <v>81</v>
      </c>
      <c r="F7" s="3">
        <v>617787</v>
      </c>
      <c r="G7" s="3">
        <v>255726</v>
      </c>
      <c r="H7" s="3">
        <v>37927</v>
      </c>
      <c r="I7" s="3">
        <f t="shared" si="0"/>
        <v>911440</v>
      </c>
      <c r="J7" s="24">
        <f t="shared" si="1"/>
        <v>873513</v>
      </c>
      <c r="K7" s="2">
        <v>12</v>
      </c>
      <c r="L7" s="24">
        <f t="shared" si="2"/>
        <v>37927</v>
      </c>
      <c r="M7" s="25">
        <f>I7/SUM($I$5:$I$51)*Instrucciones!$B$84</f>
        <v>121471.85494428793</v>
      </c>
      <c r="O7" t="b">
        <f>B7=Datos!B7</f>
        <v>1</v>
      </c>
      <c r="P7" t="b">
        <f>D7=TRIM(CLEAN(Datos!F7))</f>
        <v>1</v>
      </c>
      <c r="Q7" t="b">
        <f>J7=Datos!L7</f>
        <v>1</v>
      </c>
      <c r="R7" t="b">
        <f>L7=Datos!N7</f>
        <v>1</v>
      </c>
      <c r="S7" t="b">
        <f>M7=Datos!O7</f>
        <v>0</v>
      </c>
    </row>
    <row r="8" spans="1:19">
      <c r="A8" s="5">
        <v>3</v>
      </c>
      <c r="B8" s="5" t="s">
        <v>31</v>
      </c>
      <c r="C8" t="s">
        <v>82</v>
      </c>
      <c r="D8" t="s">
        <v>82</v>
      </c>
      <c r="E8" t="s">
        <v>83</v>
      </c>
      <c r="F8" s="3">
        <v>776704</v>
      </c>
      <c r="G8" s="3">
        <v>900785</v>
      </c>
      <c r="H8" s="3">
        <v>947733</v>
      </c>
      <c r="I8" s="3">
        <f t="shared" si="0"/>
        <v>2625222</v>
      </c>
      <c r="J8" s="24">
        <f t="shared" si="1"/>
        <v>1677489</v>
      </c>
      <c r="K8" s="2">
        <v>12</v>
      </c>
      <c r="L8" s="24">
        <f t="shared" si="2"/>
        <v>947733</v>
      </c>
      <c r="M8" s="25">
        <f>I8/SUM($I$5:$I$51)*Instrucciones!$B$84</f>
        <v>349875.56611576566</v>
      </c>
      <c r="O8" t="b">
        <f>B8=Datos!B8</f>
        <v>1</v>
      </c>
      <c r="P8" t="b">
        <f>D8=TRIM(CLEAN(Datos!F8))</f>
        <v>1</v>
      </c>
      <c r="Q8" t="b">
        <f>J8=Datos!L8</f>
        <v>1</v>
      </c>
      <c r="R8" t="b">
        <f>L8=Datos!N8</f>
        <v>1</v>
      </c>
      <c r="S8" t="b">
        <f>M8=Datos!O8</f>
        <v>0</v>
      </c>
    </row>
    <row r="9" spans="1:19">
      <c r="A9" s="5">
        <v>3</v>
      </c>
      <c r="B9" s="5" t="s">
        <v>31</v>
      </c>
      <c r="C9" t="s">
        <v>84</v>
      </c>
      <c r="D9" t="s">
        <v>196</v>
      </c>
      <c r="E9" t="s">
        <v>85</v>
      </c>
      <c r="F9" s="3">
        <v>786044</v>
      </c>
      <c r="G9" s="3">
        <v>772642</v>
      </c>
      <c r="H9" s="3">
        <v>901396</v>
      </c>
      <c r="I9" s="3">
        <f t="shared" si="0"/>
        <v>2460082</v>
      </c>
      <c r="J9" s="24">
        <f t="shared" si="1"/>
        <v>1558686</v>
      </c>
      <c r="K9" s="2">
        <v>36</v>
      </c>
      <c r="L9" s="24">
        <f t="shared" si="2"/>
        <v>300465.33333333331</v>
      </c>
      <c r="M9" s="25">
        <f>I9/SUM($I$5:$I$51)*Instrucciones!$B$84</f>
        <v>327866.58897464862</v>
      </c>
      <c r="O9" t="b">
        <f>B9=Datos!B9</f>
        <v>1</v>
      </c>
      <c r="P9" t="b">
        <f>D9=TRIM(CLEAN(Datos!F9))</f>
        <v>1</v>
      </c>
      <c r="Q9" t="b">
        <f>J9=Datos!L9</f>
        <v>1</v>
      </c>
      <c r="R9" t="b">
        <f>L9=Datos!N9</f>
        <v>1</v>
      </c>
      <c r="S9" t="b">
        <f>M9=Datos!O9</f>
        <v>0</v>
      </c>
    </row>
    <row r="10" spans="1:19">
      <c r="A10" s="5">
        <v>4</v>
      </c>
      <c r="B10" s="5" t="s">
        <v>32</v>
      </c>
      <c r="C10" t="s">
        <v>86</v>
      </c>
      <c r="D10" t="s">
        <v>197</v>
      </c>
      <c r="E10" t="s">
        <v>87</v>
      </c>
      <c r="F10" s="3">
        <v>685100</v>
      </c>
      <c r="G10" s="3">
        <v>416027</v>
      </c>
      <c r="H10" s="3">
        <v>409897</v>
      </c>
      <c r="I10" s="3">
        <f t="shared" si="0"/>
        <v>1511024</v>
      </c>
      <c r="J10" s="24">
        <f t="shared" si="1"/>
        <v>1101127</v>
      </c>
      <c r="K10" s="2">
        <v>36</v>
      </c>
      <c r="L10" s="24">
        <f t="shared" si="2"/>
        <v>136632.33333333334</v>
      </c>
      <c r="M10" s="25">
        <f>I10/SUM($I$5:$I$51)*Instrucciones!$B$84</f>
        <v>201381.20791860981</v>
      </c>
      <c r="O10" t="b">
        <f>B10=Datos!B10</f>
        <v>1</v>
      </c>
      <c r="P10" t="b">
        <f>D10=TRIM(CLEAN(Datos!F10))</f>
        <v>1</v>
      </c>
      <c r="Q10" t="b">
        <f>J10=Datos!L10</f>
        <v>1</v>
      </c>
      <c r="R10" t="b">
        <f>L10=Datos!N10</f>
        <v>1</v>
      </c>
      <c r="S10" t="b">
        <f>M10=Datos!O10</f>
        <v>0</v>
      </c>
    </row>
    <row r="11" spans="1:19">
      <c r="A11" s="5">
        <v>4</v>
      </c>
      <c r="B11" s="5" t="s">
        <v>32</v>
      </c>
      <c r="C11" t="s">
        <v>88</v>
      </c>
      <c r="D11" t="s">
        <v>198</v>
      </c>
      <c r="E11" t="s">
        <v>89</v>
      </c>
      <c r="F11" s="3">
        <v>53956</v>
      </c>
      <c r="G11" s="3">
        <v>564252</v>
      </c>
      <c r="H11" s="3">
        <v>357928</v>
      </c>
      <c r="I11" s="3">
        <f t="shared" si="0"/>
        <v>976136</v>
      </c>
      <c r="J11" s="24">
        <f t="shared" si="1"/>
        <v>618208</v>
      </c>
      <c r="K11" s="2">
        <v>12</v>
      </c>
      <c r="L11" s="24">
        <f t="shared" si="2"/>
        <v>357928</v>
      </c>
      <c r="M11" s="25">
        <f>I11/SUM($I$5:$I$51)*Instrucciones!$B$84</f>
        <v>130094.19226487474</v>
      </c>
      <c r="O11" t="b">
        <f>B11=Datos!B11</f>
        <v>1</v>
      </c>
      <c r="P11" t="b">
        <f>D11=TRIM(CLEAN(Datos!F11))</f>
        <v>1</v>
      </c>
      <c r="Q11" t="b">
        <f>J11=Datos!L11</f>
        <v>1</v>
      </c>
      <c r="R11" t="b">
        <f>L11=Datos!N11</f>
        <v>1</v>
      </c>
      <c r="S11" t="b">
        <f>M11=Datos!O11</f>
        <v>0</v>
      </c>
    </row>
    <row r="12" spans="1:19">
      <c r="A12" s="5">
        <v>1</v>
      </c>
      <c r="B12" s="5" t="s">
        <v>29</v>
      </c>
      <c r="C12" t="s">
        <v>90</v>
      </c>
      <c r="D12" t="s">
        <v>90</v>
      </c>
      <c r="E12" t="s">
        <v>91</v>
      </c>
      <c r="F12" s="3">
        <v>819399</v>
      </c>
      <c r="G12" s="3">
        <v>693226</v>
      </c>
      <c r="H12" s="3">
        <v>598380</v>
      </c>
      <c r="I12" s="3">
        <f t="shared" si="0"/>
        <v>2111005</v>
      </c>
      <c r="J12" s="24">
        <f t="shared" si="1"/>
        <v>1512625</v>
      </c>
      <c r="K12" s="2">
        <v>12</v>
      </c>
      <c r="L12" s="24">
        <f t="shared" si="2"/>
        <v>598380</v>
      </c>
      <c r="M12" s="25">
        <f>I12/SUM($I$5:$I$51)*Instrucciones!$B$84</f>
        <v>281343.47093244374</v>
      </c>
      <c r="O12" t="b">
        <f>B12=Datos!B12</f>
        <v>1</v>
      </c>
      <c r="P12" t="b">
        <f>D12=TRIM(CLEAN(Datos!F12))</f>
        <v>1</v>
      </c>
      <c r="Q12" t="b">
        <f>J12=Datos!L12</f>
        <v>1</v>
      </c>
      <c r="R12" t="b">
        <f>L12=Datos!N12</f>
        <v>1</v>
      </c>
      <c r="S12" t="b">
        <f>M12=Datos!O12</f>
        <v>0</v>
      </c>
    </row>
    <row r="13" spans="1:19">
      <c r="A13" s="5">
        <v>4</v>
      </c>
      <c r="B13" s="5" t="s">
        <v>32</v>
      </c>
      <c r="C13" t="s">
        <v>92</v>
      </c>
      <c r="D13" t="s">
        <v>92</v>
      </c>
      <c r="E13" t="s">
        <v>93</v>
      </c>
      <c r="F13" s="3">
        <v>71963</v>
      </c>
      <c r="G13" s="3">
        <v>368847</v>
      </c>
      <c r="H13" s="3">
        <v>933532</v>
      </c>
      <c r="I13" s="3">
        <f t="shared" si="0"/>
        <v>1374342</v>
      </c>
      <c r="J13" s="24">
        <f t="shared" si="1"/>
        <v>440810</v>
      </c>
      <c r="K13" s="2">
        <v>12</v>
      </c>
      <c r="L13" s="24">
        <f t="shared" si="2"/>
        <v>933532</v>
      </c>
      <c r="M13" s="25">
        <f>I13/SUM($I$5:$I$51)*Instrucciones!$B$84</f>
        <v>183164.96101536311</v>
      </c>
      <c r="O13" t="b">
        <f>B13=Datos!B13</f>
        <v>1</v>
      </c>
      <c r="P13" t="b">
        <f>D13=TRIM(CLEAN(Datos!F13))</f>
        <v>1</v>
      </c>
      <c r="Q13" t="b">
        <f>J13=Datos!L13</f>
        <v>1</v>
      </c>
      <c r="R13" t="b">
        <f>L13=Datos!N13</f>
        <v>1</v>
      </c>
      <c r="S13" t="b">
        <f>M13=Datos!O13</f>
        <v>0</v>
      </c>
    </row>
    <row r="14" spans="1:19">
      <c r="A14" s="5">
        <v>5</v>
      </c>
      <c r="B14" s="5" t="s">
        <v>33</v>
      </c>
      <c r="C14" t="s">
        <v>94</v>
      </c>
      <c r="D14" t="s">
        <v>94</v>
      </c>
      <c r="E14" t="s">
        <v>95</v>
      </c>
      <c r="F14" s="3">
        <v>642162</v>
      </c>
      <c r="G14" s="3">
        <v>743470</v>
      </c>
      <c r="H14" s="3">
        <v>49574</v>
      </c>
      <c r="I14" s="3">
        <f t="shared" si="0"/>
        <v>1435206</v>
      </c>
      <c r="J14" s="24">
        <f t="shared" si="1"/>
        <v>1385632</v>
      </c>
      <c r="K14" s="2">
        <v>12</v>
      </c>
      <c r="L14" s="24">
        <f t="shared" si="2"/>
        <v>49574</v>
      </c>
      <c r="M14" s="25">
        <f>I14/SUM($I$5:$I$51)*Instrucciones!$B$84</f>
        <v>191276.58984373265</v>
      </c>
      <c r="O14" t="b">
        <f>B14=Datos!B14</f>
        <v>1</v>
      </c>
      <c r="P14" t="b">
        <f>D14=TRIM(CLEAN(Datos!F14))</f>
        <v>1</v>
      </c>
      <c r="Q14" t="b">
        <f>J14=Datos!L14</f>
        <v>1</v>
      </c>
      <c r="R14" t="b">
        <f>L14=Datos!N14</f>
        <v>1</v>
      </c>
      <c r="S14" t="b">
        <f>M14=Datos!O14</f>
        <v>0</v>
      </c>
    </row>
    <row r="15" spans="1:19">
      <c r="A15" s="5">
        <v>6</v>
      </c>
      <c r="B15" s="5" t="s">
        <v>34</v>
      </c>
      <c r="C15" t="s">
        <v>96</v>
      </c>
      <c r="D15" t="s">
        <v>199</v>
      </c>
      <c r="E15" t="s">
        <v>97</v>
      </c>
      <c r="F15" s="3">
        <v>381832</v>
      </c>
      <c r="G15" s="3">
        <v>412069</v>
      </c>
      <c r="H15" s="3">
        <v>738365</v>
      </c>
      <c r="I15" s="3">
        <f t="shared" si="0"/>
        <v>1532266</v>
      </c>
      <c r="J15" s="24">
        <f t="shared" si="1"/>
        <v>793901</v>
      </c>
      <c r="K15" s="2">
        <v>18</v>
      </c>
      <c r="L15" s="24">
        <f t="shared" si="2"/>
        <v>492243.33333333331</v>
      </c>
      <c r="M15" s="25">
        <f>I15/SUM($I$5:$I$51)*Instrucciones!$B$84</f>
        <v>204212.22821915243</v>
      </c>
      <c r="O15" t="b">
        <f>B15=Datos!B15</f>
        <v>1</v>
      </c>
      <c r="P15" t="b">
        <f>D15=TRIM(CLEAN(Datos!F15))</f>
        <v>1</v>
      </c>
      <c r="Q15" t="b">
        <f>J15=Datos!L15</f>
        <v>1</v>
      </c>
      <c r="R15" t="b">
        <f>L15=Datos!N15</f>
        <v>1</v>
      </c>
      <c r="S15" t="b">
        <f>M15=Datos!O15</f>
        <v>0</v>
      </c>
    </row>
    <row r="16" spans="1:19">
      <c r="A16" s="5">
        <v>5</v>
      </c>
      <c r="B16" s="5" t="s">
        <v>33</v>
      </c>
      <c r="C16" t="s">
        <v>98</v>
      </c>
      <c r="D16" t="s">
        <v>98</v>
      </c>
      <c r="E16" t="s">
        <v>99</v>
      </c>
      <c r="F16" s="3">
        <v>988790</v>
      </c>
      <c r="G16" s="3">
        <v>573087</v>
      </c>
      <c r="H16" s="3">
        <v>932111</v>
      </c>
      <c r="I16" s="3">
        <f t="shared" si="0"/>
        <v>2493988</v>
      </c>
      <c r="J16" s="24">
        <f t="shared" si="1"/>
        <v>1561877</v>
      </c>
      <c r="K16" s="2">
        <v>12</v>
      </c>
      <c r="L16" s="24">
        <f t="shared" si="2"/>
        <v>932111</v>
      </c>
      <c r="M16" s="25">
        <f>I16/SUM($I$5:$I$51)*Instrucciones!$B$84</f>
        <v>332385.39955322869</v>
      </c>
      <c r="O16" t="b">
        <f>B16=Datos!B16</f>
        <v>1</v>
      </c>
      <c r="P16" t="b">
        <f>D16=TRIM(CLEAN(Datos!F16))</f>
        <v>1</v>
      </c>
      <c r="Q16" t="b">
        <f>J16=Datos!L16</f>
        <v>1</v>
      </c>
      <c r="R16" t="b">
        <f>L16=Datos!N16</f>
        <v>1</v>
      </c>
      <c r="S16" t="b">
        <f>M16=Datos!O16</f>
        <v>0</v>
      </c>
    </row>
    <row r="17" spans="1:19">
      <c r="A17" s="5">
        <v>3</v>
      </c>
      <c r="B17" s="5" t="s">
        <v>31</v>
      </c>
      <c r="C17" t="s">
        <v>100</v>
      </c>
      <c r="D17" t="s">
        <v>200</v>
      </c>
      <c r="E17" t="s">
        <v>101</v>
      </c>
      <c r="F17" s="3">
        <v>599171</v>
      </c>
      <c r="G17" s="3">
        <v>113365</v>
      </c>
      <c r="H17" s="3">
        <v>525330</v>
      </c>
      <c r="I17" s="3">
        <f t="shared" si="0"/>
        <v>1237866</v>
      </c>
      <c r="J17" s="24">
        <f t="shared" si="1"/>
        <v>712536</v>
      </c>
      <c r="K17" s="2">
        <v>12</v>
      </c>
      <c r="L17" s="24">
        <f t="shared" si="2"/>
        <v>525330</v>
      </c>
      <c r="M17" s="25">
        <f>I17/SUM($I$5:$I$51)*Instrucciones!$B$84</f>
        <v>164976.16869181287</v>
      </c>
      <c r="O17" t="b">
        <f>B17=Datos!B17</f>
        <v>1</v>
      </c>
      <c r="P17" t="b">
        <f>D17=TRIM(CLEAN(Datos!F17))</f>
        <v>1</v>
      </c>
      <c r="Q17" t="b">
        <f>J17=Datos!L17</f>
        <v>1</v>
      </c>
      <c r="R17" t="b">
        <f>L17=Datos!N17</f>
        <v>1</v>
      </c>
      <c r="S17" t="b">
        <f>M17=Datos!O17</f>
        <v>0</v>
      </c>
    </row>
    <row r="18" spans="1:19">
      <c r="A18" s="5">
        <v>2</v>
      </c>
      <c r="B18" s="5" t="s">
        <v>30</v>
      </c>
      <c r="C18" t="s">
        <v>102</v>
      </c>
      <c r="D18" t="s">
        <v>102</v>
      </c>
      <c r="E18" t="s">
        <v>103</v>
      </c>
      <c r="F18" s="3">
        <v>399740</v>
      </c>
      <c r="G18" s="3">
        <v>997766</v>
      </c>
      <c r="H18" s="3">
        <v>998673</v>
      </c>
      <c r="I18" s="3">
        <f t="shared" si="0"/>
        <v>2396179</v>
      </c>
      <c r="J18" s="24">
        <f t="shared" si="1"/>
        <v>1397506</v>
      </c>
      <c r="K18" s="2">
        <v>12</v>
      </c>
      <c r="L18" s="24">
        <f t="shared" si="2"/>
        <v>998673</v>
      </c>
      <c r="M18" s="25">
        <f>I18/SUM($I$5:$I$51)*Instrucciones!$B$84</f>
        <v>319349.93845842726</v>
      </c>
      <c r="O18" t="b">
        <f>B18=Datos!B18</f>
        <v>1</v>
      </c>
      <c r="P18" t="b">
        <f>D18=TRIM(CLEAN(Datos!F18))</f>
        <v>1</v>
      </c>
      <c r="Q18" t="b">
        <f>J18=Datos!L18</f>
        <v>1</v>
      </c>
      <c r="R18" t="b">
        <f>L18=Datos!N18</f>
        <v>1</v>
      </c>
      <c r="S18" t="b">
        <f>M18=Datos!O18</f>
        <v>0</v>
      </c>
    </row>
    <row r="19" spans="1:19">
      <c r="A19" s="5">
        <v>6</v>
      </c>
      <c r="B19" s="5" t="s">
        <v>34</v>
      </c>
      <c r="C19" t="s">
        <v>104</v>
      </c>
      <c r="D19" t="s">
        <v>201</v>
      </c>
      <c r="E19" t="s">
        <v>105</v>
      </c>
      <c r="F19" s="3">
        <v>73001</v>
      </c>
      <c r="G19" s="3">
        <v>918657</v>
      </c>
      <c r="H19" s="3">
        <v>787616</v>
      </c>
      <c r="I19" s="3">
        <f t="shared" si="0"/>
        <v>1779274</v>
      </c>
      <c r="J19" s="24">
        <f t="shared" si="1"/>
        <v>991658</v>
      </c>
      <c r="K19" s="2">
        <v>12</v>
      </c>
      <c r="L19" s="24">
        <f t="shared" si="2"/>
        <v>787616</v>
      </c>
      <c r="M19" s="25">
        <f>I19/SUM($I$5:$I$51)*Instrucciones!$B$84</f>
        <v>237132.13512040611</v>
      </c>
      <c r="O19" t="b">
        <f>B19=Datos!B19</f>
        <v>1</v>
      </c>
      <c r="P19" t="b">
        <f>D19=TRIM(CLEAN(Datos!F19))</f>
        <v>1</v>
      </c>
      <c r="Q19" t="b">
        <f>J19=Datos!L19</f>
        <v>1</v>
      </c>
      <c r="R19" t="b">
        <f>L19=Datos!N19</f>
        <v>1</v>
      </c>
      <c r="S19" t="b">
        <f>M19=Datos!O19</f>
        <v>0</v>
      </c>
    </row>
    <row r="20" spans="1:19">
      <c r="A20" s="5">
        <v>6</v>
      </c>
      <c r="B20" s="5" t="s">
        <v>34</v>
      </c>
      <c r="C20" t="s">
        <v>106</v>
      </c>
      <c r="D20" t="s">
        <v>106</v>
      </c>
      <c r="E20" t="s">
        <v>107</v>
      </c>
      <c r="F20" s="3">
        <v>110090</v>
      </c>
      <c r="G20" s="3">
        <v>818257</v>
      </c>
      <c r="H20" s="3">
        <v>991061</v>
      </c>
      <c r="I20" s="3">
        <f t="shared" si="0"/>
        <v>1919408</v>
      </c>
      <c r="J20" s="24">
        <f t="shared" si="1"/>
        <v>928347</v>
      </c>
      <c r="K20" s="2">
        <v>12</v>
      </c>
      <c r="L20" s="24">
        <f t="shared" si="2"/>
        <v>991061</v>
      </c>
      <c r="M20" s="25">
        <f>I20/SUM($I$5:$I$51)*Instrucciones!$B$84</f>
        <v>255808.44614555626</v>
      </c>
      <c r="O20" t="b">
        <f>B20=Datos!B20</f>
        <v>1</v>
      </c>
      <c r="P20" t="b">
        <f>D20=TRIM(CLEAN(Datos!F20))</f>
        <v>1</v>
      </c>
      <c r="Q20" t="b">
        <f>J20=Datos!L20</f>
        <v>1</v>
      </c>
      <c r="R20" t="b">
        <f>L20=Datos!N20</f>
        <v>1</v>
      </c>
      <c r="S20" t="b">
        <f>M20=Datos!O20</f>
        <v>0</v>
      </c>
    </row>
    <row r="21" spans="1:19">
      <c r="A21" s="5">
        <v>5</v>
      </c>
      <c r="B21" s="5" t="s">
        <v>33</v>
      </c>
      <c r="C21" t="s">
        <v>108</v>
      </c>
      <c r="D21" t="s">
        <v>108</v>
      </c>
      <c r="E21" t="s">
        <v>109</v>
      </c>
      <c r="F21" s="3">
        <v>649515</v>
      </c>
      <c r="G21" s="3">
        <v>595210</v>
      </c>
      <c r="H21" s="3">
        <v>903421</v>
      </c>
      <c r="I21" s="3">
        <f t="shared" si="0"/>
        <v>2148146</v>
      </c>
      <c r="J21" s="24">
        <f t="shared" si="1"/>
        <v>1244725</v>
      </c>
      <c r="K21" s="2">
        <v>12</v>
      </c>
      <c r="L21" s="24">
        <f t="shared" si="2"/>
        <v>903421</v>
      </c>
      <c r="M21" s="25">
        <f>I21/SUM($I$5:$I$51)*Instrucciones!$B$84</f>
        <v>286293.42503198492</v>
      </c>
      <c r="O21" t="b">
        <f>B21=Datos!B21</f>
        <v>1</v>
      </c>
      <c r="P21" t="b">
        <f>D21=TRIM(CLEAN(Datos!F21))</f>
        <v>1</v>
      </c>
      <c r="Q21" t="b">
        <f>J21=Datos!L21</f>
        <v>1</v>
      </c>
      <c r="R21" t="b">
        <f>L21=Datos!N21</f>
        <v>1</v>
      </c>
      <c r="S21" t="b">
        <f>M21=Datos!O21</f>
        <v>0</v>
      </c>
    </row>
    <row r="22" spans="1:19">
      <c r="A22" s="5">
        <v>6</v>
      </c>
      <c r="B22" s="5" t="s">
        <v>34</v>
      </c>
      <c r="C22" t="s">
        <v>110</v>
      </c>
      <c r="D22" t="s">
        <v>110</v>
      </c>
      <c r="E22" t="s">
        <v>111</v>
      </c>
      <c r="F22" s="3">
        <v>855188</v>
      </c>
      <c r="G22" s="3">
        <v>626326</v>
      </c>
      <c r="H22" s="3">
        <v>53986</v>
      </c>
      <c r="I22" s="3">
        <f t="shared" si="0"/>
        <v>1535500</v>
      </c>
      <c r="J22" s="24">
        <f t="shared" si="1"/>
        <v>1481514</v>
      </c>
      <c r="K22" s="2">
        <v>36</v>
      </c>
      <c r="L22" s="24">
        <f t="shared" si="2"/>
        <v>17995.333333333332</v>
      </c>
      <c r="M22" s="25">
        <f>I22/SUM($I$5:$I$51)*Instrucciones!$B$84</f>
        <v>204643.23846545478</v>
      </c>
      <c r="O22" t="b">
        <f>B22=Datos!B22</f>
        <v>1</v>
      </c>
      <c r="P22" t="b">
        <f>D22=TRIM(CLEAN(Datos!F22))</f>
        <v>1</v>
      </c>
      <c r="Q22" t="b">
        <f>J22=Datos!L22</f>
        <v>1</v>
      </c>
      <c r="R22" t="b">
        <f>L22=Datos!N22</f>
        <v>1</v>
      </c>
      <c r="S22" t="b">
        <f>M22=Datos!O22</f>
        <v>0</v>
      </c>
    </row>
    <row r="23" spans="1:19">
      <c r="A23" s="5">
        <v>5</v>
      </c>
      <c r="B23" s="5" t="s">
        <v>33</v>
      </c>
      <c r="C23" t="s">
        <v>112</v>
      </c>
      <c r="D23" t="s">
        <v>202</v>
      </c>
      <c r="E23" t="s">
        <v>113</v>
      </c>
      <c r="F23" s="3">
        <v>802364</v>
      </c>
      <c r="G23" s="3">
        <v>316112</v>
      </c>
      <c r="H23" s="3">
        <v>815866</v>
      </c>
      <c r="I23" s="3">
        <f t="shared" si="0"/>
        <v>1934342</v>
      </c>
      <c r="J23" s="24">
        <f t="shared" si="1"/>
        <v>1118476</v>
      </c>
      <c r="K23" s="2">
        <v>36</v>
      </c>
      <c r="L23" s="24">
        <f t="shared" si="2"/>
        <v>271955.33333333331</v>
      </c>
      <c r="M23" s="25">
        <f>I23/SUM($I$5:$I$51)*Instrucciones!$B$84</f>
        <v>257798.76989888944</v>
      </c>
      <c r="O23" t="b">
        <f>B23=Datos!B23</f>
        <v>1</v>
      </c>
      <c r="P23" t="b">
        <f>D23=TRIM(CLEAN(Datos!F23))</f>
        <v>1</v>
      </c>
      <c r="Q23" t="b">
        <f>J23=Datos!L23</f>
        <v>1</v>
      </c>
      <c r="R23" t="b">
        <f>L23=Datos!N23</f>
        <v>1</v>
      </c>
      <c r="S23" t="b">
        <f>M23=Datos!O23</f>
        <v>0</v>
      </c>
    </row>
    <row r="24" spans="1:19">
      <c r="A24" s="5">
        <v>6</v>
      </c>
      <c r="B24" s="5" t="s">
        <v>34</v>
      </c>
      <c r="C24" t="s">
        <v>114</v>
      </c>
      <c r="D24" t="s">
        <v>203</v>
      </c>
      <c r="E24" t="s">
        <v>115</v>
      </c>
      <c r="F24" s="3">
        <v>801679</v>
      </c>
      <c r="G24" s="3">
        <v>350321</v>
      </c>
      <c r="H24" s="3">
        <v>557708</v>
      </c>
      <c r="I24" s="3">
        <f t="shared" si="0"/>
        <v>1709708</v>
      </c>
      <c r="J24" s="24">
        <f t="shared" si="1"/>
        <v>1152000</v>
      </c>
      <c r="K24" s="2">
        <v>36</v>
      </c>
      <c r="L24" s="24">
        <f t="shared" si="2"/>
        <v>185902.66666666666</v>
      </c>
      <c r="M24" s="25">
        <f>I24/SUM($I$5:$I$51)*Instrucciones!$B$84</f>
        <v>227860.75021185007</v>
      </c>
      <c r="O24" t="b">
        <f>B24=Datos!B24</f>
        <v>1</v>
      </c>
      <c r="P24" t="b">
        <f>D24=TRIM(CLEAN(Datos!F24))</f>
        <v>1</v>
      </c>
      <c r="Q24" t="b">
        <f>J24=Datos!L24</f>
        <v>1</v>
      </c>
      <c r="R24" t="b">
        <f>L24=Datos!N24</f>
        <v>1</v>
      </c>
      <c r="S24" t="b">
        <f>M24=Datos!O24</f>
        <v>0</v>
      </c>
    </row>
    <row r="25" spans="1:19">
      <c r="A25" s="5">
        <v>5</v>
      </c>
      <c r="B25" s="5" t="s">
        <v>33</v>
      </c>
      <c r="C25" t="s">
        <v>116</v>
      </c>
      <c r="D25" t="s">
        <v>116</v>
      </c>
      <c r="E25" t="s">
        <v>117</v>
      </c>
      <c r="F25" s="3">
        <v>819779</v>
      </c>
      <c r="G25" s="3">
        <v>288197</v>
      </c>
      <c r="H25" s="3">
        <v>213817</v>
      </c>
      <c r="I25" s="3">
        <f t="shared" si="0"/>
        <v>1321793</v>
      </c>
      <c r="J25" s="24">
        <f t="shared" si="1"/>
        <v>1107976</v>
      </c>
      <c r="K25" s="2">
        <v>12</v>
      </c>
      <c r="L25" s="24">
        <f t="shared" si="2"/>
        <v>213817</v>
      </c>
      <c r="M25" s="25">
        <f>I25/SUM($I$5:$I$51)*Instrucciones!$B$84</f>
        <v>176161.51097425522</v>
      </c>
      <c r="O25" t="b">
        <f>B25=Datos!B25</f>
        <v>1</v>
      </c>
      <c r="P25" t="b">
        <f>D25=TRIM(CLEAN(Datos!F25))</f>
        <v>1</v>
      </c>
      <c r="Q25" t="b">
        <f>J25=Datos!L25</f>
        <v>1</v>
      </c>
      <c r="R25" t="b">
        <f>L25=Datos!N25</f>
        <v>1</v>
      </c>
      <c r="S25" t="b">
        <f>M25=Datos!O25</f>
        <v>0</v>
      </c>
    </row>
    <row r="26" spans="1:19">
      <c r="A26" s="5">
        <v>3</v>
      </c>
      <c r="B26" s="5" t="s">
        <v>31</v>
      </c>
      <c r="C26" t="s">
        <v>118</v>
      </c>
      <c r="D26" t="s">
        <v>204</v>
      </c>
      <c r="E26" t="s">
        <v>119</v>
      </c>
      <c r="F26" s="3">
        <v>416405</v>
      </c>
      <c r="G26" s="3">
        <v>673955</v>
      </c>
      <c r="H26" s="3">
        <v>15575</v>
      </c>
      <c r="I26" s="3">
        <f t="shared" si="0"/>
        <v>1105935</v>
      </c>
      <c r="J26" s="24">
        <f t="shared" si="1"/>
        <v>1090360</v>
      </c>
      <c r="K26" s="2">
        <v>12</v>
      </c>
      <c r="L26" s="24">
        <f t="shared" si="2"/>
        <v>15575</v>
      </c>
      <c r="M26" s="25">
        <f>I26/SUM($I$5:$I$51)*Instrucciones!$B$84</f>
        <v>147393.10969214767</v>
      </c>
      <c r="O26" t="b">
        <f>B26=Datos!B26</f>
        <v>1</v>
      </c>
      <c r="P26" t="b">
        <f>D26=TRIM(CLEAN(Datos!F26))</f>
        <v>1</v>
      </c>
      <c r="Q26" t="b">
        <f>J26=Datos!L26</f>
        <v>1</v>
      </c>
      <c r="R26" t="b">
        <f>L26=Datos!N26</f>
        <v>1</v>
      </c>
      <c r="S26" t="b">
        <f>M26=Datos!O26</f>
        <v>0</v>
      </c>
    </row>
    <row r="27" spans="1:19">
      <c r="A27" s="5">
        <v>2</v>
      </c>
      <c r="B27" s="5" t="s">
        <v>30</v>
      </c>
      <c r="C27" t="s">
        <v>120</v>
      </c>
      <c r="D27" t="s">
        <v>205</v>
      </c>
      <c r="E27" t="s">
        <v>121</v>
      </c>
      <c r="F27" s="3">
        <v>129325</v>
      </c>
      <c r="G27" s="3">
        <v>795377</v>
      </c>
      <c r="H27" s="3">
        <v>616367</v>
      </c>
      <c r="I27" s="3">
        <f t="shared" si="0"/>
        <v>1541069</v>
      </c>
      <c r="J27" s="24">
        <f t="shared" si="1"/>
        <v>924702</v>
      </c>
      <c r="K27" s="2">
        <v>12</v>
      </c>
      <c r="L27" s="24">
        <f t="shared" si="2"/>
        <v>616367</v>
      </c>
      <c r="M27" s="25">
        <f>I27/SUM($I$5:$I$51)*Instrucciones!$B$84</f>
        <v>205385.44503986972</v>
      </c>
      <c r="O27" t="b">
        <f>B27=Datos!B27</f>
        <v>1</v>
      </c>
      <c r="P27" t="b">
        <f>D27=TRIM(CLEAN(Datos!F27))</f>
        <v>1</v>
      </c>
      <c r="Q27" t="b">
        <f>J27=Datos!L27</f>
        <v>1</v>
      </c>
      <c r="R27" t="b">
        <f>L27=Datos!N27</f>
        <v>1</v>
      </c>
      <c r="S27" t="b">
        <f>M27=Datos!O27</f>
        <v>0</v>
      </c>
    </row>
    <row r="28" spans="1:19">
      <c r="A28" s="5">
        <v>3</v>
      </c>
      <c r="B28" s="5" t="s">
        <v>31</v>
      </c>
      <c r="C28" t="s">
        <v>122</v>
      </c>
      <c r="D28" t="s">
        <v>122</v>
      </c>
      <c r="E28" t="s">
        <v>123</v>
      </c>
      <c r="F28" s="3">
        <v>754511</v>
      </c>
      <c r="G28" s="3">
        <v>249744</v>
      </c>
      <c r="H28" s="3">
        <v>679050</v>
      </c>
      <c r="I28" s="3">
        <f t="shared" si="0"/>
        <v>1683305</v>
      </c>
      <c r="J28" s="24">
        <f t="shared" si="1"/>
        <v>1004255</v>
      </c>
      <c r="K28" s="2">
        <v>12</v>
      </c>
      <c r="L28" s="24">
        <f t="shared" si="2"/>
        <v>679050</v>
      </c>
      <c r="M28" s="25">
        <f>I28/SUM($I$5:$I$51)*Instrucciones!$B$84</f>
        <v>224341.8993976505</v>
      </c>
      <c r="O28" t="b">
        <f>B28=Datos!B28</f>
        <v>1</v>
      </c>
      <c r="P28" t="b">
        <f>D28=TRIM(CLEAN(Datos!F28))</f>
        <v>1</v>
      </c>
      <c r="Q28" t="b">
        <f>J28=Datos!L28</f>
        <v>1</v>
      </c>
      <c r="R28" t="b">
        <f>L28=Datos!N28</f>
        <v>1</v>
      </c>
      <c r="S28" t="b">
        <f>M28=Datos!O28</f>
        <v>0</v>
      </c>
    </row>
    <row r="29" spans="1:19">
      <c r="A29" s="5">
        <v>3</v>
      </c>
      <c r="B29" s="5" t="s">
        <v>31</v>
      </c>
      <c r="C29" t="s">
        <v>124</v>
      </c>
      <c r="D29" t="s">
        <v>206</v>
      </c>
      <c r="E29" t="s">
        <v>125</v>
      </c>
      <c r="F29" s="3">
        <v>250992</v>
      </c>
      <c r="G29" s="3">
        <v>744912</v>
      </c>
      <c r="H29" s="3">
        <v>85596</v>
      </c>
      <c r="I29" s="3">
        <f t="shared" si="0"/>
        <v>1081500</v>
      </c>
      <c r="J29" s="24">
        <f t="shared" si="1"/>
        <v>995904</v>
      </c>
      <c r="K29" s="2">
        <v>12</v>
      </c>
      <c r="L29" s="24">
        <f t="shared" si="2"/>
        <v>85596</v>
      </c>
      <c r="M29" s="25">
        <f>I29/SUM($I$5:$I$51)*Instrucciones!$B$84</f>
        <v>144136.54340631023</v>
      </c>
      <c r="O29" t="b">
        <f>B29=Datos!B29</f>
        <v>1</v>
      </c>
      <c r="P29" t="b">
        <f>D29=TRIM(CLEAN(Datos!F29))</f>
        <v>1</v>
      </c>
      <c r="Q29" t="b">
        <f>J29=Datos!L29</f>
        <v>1</v>
      </c>
      <c r="R29" t="b">
        <f>L29=Datos!N29</f>
        <v>1</v>
      </c>
      <c r="S29" t="b">
        <f>M29=Datos!O29</f>
        <v>0</v>
      </c>
    </row>
    <row r="30" spans="1:19">
      <c r="A30" s="5">
        <v>5</v>
      </c>
      <c r="B30" s="5" t="s">
        <v>33</v>
      </c>
      <c r="C30" t="s">
        <v>126</v>
      </c>
      <c r="D30" t="s">
        <v>126</v>
      </c>
      <c r="E30" t="s">
        <v>127</v>
      </c>
      <c r="F30" s="3">
        <v>605058</v>
      </c>
      <c r="G30" s="3">
        <v>178831</v>
      </c>
      <c r="H30" s="3">
        <v>845362</v>
      </c>
      <c r="I30" s="3">
        <f t="shared" si="0"/>
        <v>1629251</v>
      </c>
      <c r="J30" s="24">
        <f t="shared" si="1"/>
        <v>783889</v>
      </c>
      <c r="K30" s="2">
        <v>12</v>
      </c>
      <c r="L30" s="24">
        <f t="shared" si="2"/>
        <v>845362</v>
      </c>
      <c r="M30" s="25">
        <f>I30/SUM($I$5:$I$51)*Instrucciones!$B$84</f>
        <v>217137.87099516814</v>
      </c>
      <c r="O30" t="b">
        <f>B30=Datos!B30</f>
        <v>1</v>
      </c>
      <c r="P30" t="b">
        <f>D30=TRIM(CLEAN(Datos!F30))</f>
        <v>1</v>
      </c>
      <c r="Q30" t="b">
        <f>J30=Datos!L30</f>
        <v>1</v>
      </c>
      <c r="R30" t="b">
        <f>L30=Datos!N30</f>
        <v>1</v>
      </c>
      <c r="S30" t="b">
        <f>M30=Datos!O30</f>
        <v>0</v>
      </c>
    </row>
    <row r="31" spans="1:19">
      <c r="A31" s="5">
        <v>5</v>
      </c>
      <c r="B31" s="5" t="s">
        <v>33</v>
      </c>
      <c r="C31" t="s">
        <v>128</v>
      </c>
      <c r="D31" t="s">
        <v>128</v>
      </c>
      <c r="E31" t="s">
        <v>129</v>
      </c>
      <c r="F31" s="3">
        <v>305105</v>
      </c>
      <c r="G31" s="3">
        <v>642147</v>
      </c>
      <c r="H31" s="3">
        <v>712378</v>
      </c>
      <c r="I31" s="3">
        <f t="shared" si="0"/>
        <v>1659630</v>
      </c>
      <c r="J31" s="24">
        <f t="shared" si="1"/>
        <v>947252</v>
      </c>
      <c r="K31" s="2">
        <v>12</v>
      </c>
      <c r="L31" s="24">
        <f t="shared" si="2"/>
        <v>712378</v>
      </c>
      <c r="M31" s="25">
        <f>I31/SUM($I$5:$I$51)*Instrucciones!$B$84</f>
        <v>221186.6218524407</v>
      </c>
      <c r="O31" t="b">
        <f>B31=Datos!B31</f>
        <v>1</v>
      </c>
      <c r="P31" t="b">
        <f>D31=TRIM(CLEAN(Datos!F31))</f>
        <v>1</v>
      </c>
      <c r="Q31" t="b">
        <f>J31=Datos!L31</f>
        <v>1</v>
      </c>
      <c r="R31" t="b">
        <f>L31=Datos!N31</f>
        <v>1</v>
      </c>
      <c r="S31" t="b">
        <f>M31=Datos!O31</f>
        <v>0</v>
      </c>
    </row>
    <row r="32" spans="1:19">
      <c r="A32" s="5">
        <v>1</v>
      </c>
      <c r="B32" s="5" t="s">
        <v>29</v>
      </c>
      <c r="C32" t="s">
        <v>130</v>
      </c>
      <c r="D32" t="s">
        <v>207</v>
      </c>
      <c r="E32" t="s">
        <v>131</v>
      </c>
      <c r="F32" s="3">
        <v>503763</v>
      </c>
      <c r="G32" s="3">
        <v>95136</v>
      </c>
      <c r="H32" s="3">
        <v>621836</v>
      </c>
      <c r="I32" s="3">
        <f t="shared" si="0"/>
        <v>1220735</v>
      </c>
      <c r="J32" s="24">
        <f t="shared" si="1"/>
        <v>598899</v>
      </c>
      <c r="K32" s="2">
        <v>12</v>
      </c>
      <c r="L32" s="24">
        <f t="shared" si="2"/>
        <v>621836</v>
      </c>
      <c r="M32" s="25">
        <f>I32/SUM($I$5:$I$51)*Instrucciones!$B$84</f>
        <v>162693.04051327056</v>
      </c>
      <c r="O32" t="b">
        <f>B32=Datos!B32</f>
        <v>1</v>
      </c>
      <c r="P32" t="b">
        <f>D32=TRIM(CLEAN(Datos!F32))</f>
        <v>1</v>
      </c>
      <c r="Q32" t="b">
        <f>J32=Datos!L32</f>
        <v>1</v>
      </c>
      <c r="R32" t="b">
        <f>L32=Datos!N32</f>
        <v>1</v>
      </c>
      <c r="S32" t="b">
        <f>M32=Datos!O32</f>
        <v>0</v>
      </c>
    </row>
    <row r="33" spans="1:19">
      <c r="A33" s="5">
        <v>6</v>
      </c>
      <c r="B33" s="5" t="s">
        <v>34</v>
      </c>
      <c r="C33" t="s">
        <v>132</v>
      </c>
      <c r="D33" t="s">
        <v>132</v>
      </c>
      <c r="E33" t="s">
        <v>133</v>
      </c>
      <c r="F33" s="3">
        <v>940037</v>
      </c>
      <c r="G33" s="3">
        <v>652789</v>
      </c>
      <c r="H33" s="3">
        <v>128281</v>
      </c>
      <c r="I33" s="3">
        <f t="shared" si="0"/>
        <v>1721107</v>
      </c>
      <c r="J33" s="24">
        <f t="shared" si="1"/>
        <v>1592826</v>
      </c>
      <c r="K33" s="2">
        <v>12</v>
      </c>
      <c r="L33" s="24">
        <f t="shared" si="2"/>
        <v>128281</v>
      </c>
      <c r="M33" s="25">
        <f>I33/SUM($I$5:$I$51)*Instrucciones!$B$84</f>
        <v>229379.94804660598</v>
      </c>
      <c r="O33" t="b">
        <f>B33=Datos!B33</f>
        <v>1</v>
      </c>
      <c r="P33" t="b">
        <f>D33=TRIM(CLEAN(Datos!F33))</f>
        <v>1</v>
      </c>
      <c r="Q33" t="b">
        <f>J33=Datos!L33</f>
        <v>1</v>
      </c>
      <c r="R33" t="b">
        <f>L33=Datos!N33</f>
        <v>1</v>
      </c>
      <c r="S33" t="b">
        <f>M33=Datos!O33</f>
        <v>0</v>
      </c>
    </row>
    <row r="34" spans="1:19">
      <c r="A34" s="5">
        <v>5</v>
      </c>
      <c r="B34" s="5" t="s">
        <v>33</v>
      </c>
      <c r="C34" t="s">
        <v>134</v>
      </c>
      <c r="D34" t="s">
        <v>208</v>
      </c>
      <c r="E34" t="s">
        <v>135</v>
      </c>
      <c r="F34" s="3">
        <v>631182</v>
      </c>
      <c r="G34" s="3">
        <v>97640</v>
      </c>
      <c r="H34" s="3">
        <v>570699</v>
      </c>
      <c r="I34" s="3">
        <f t="shared" si="0"/>
        <v>1299521</v>
      </c>
      <c r="J34" s="24">
        <f t="shared" si="1"/>
        <v>728822</v>
      </c>
      <c r="K34" s="2">
        <v>18</v>
      </c>
      <c r="L34" s="24">
        <f t="shared" si="2"/>
        <v>380466</v>
      </c>
      <c r="M34" s="25">
        <f>I34/SUM($I$5:$I$51)*Instrucciones!$B$84</f>
        <v>173193.21777523041</v>
      </c>
      <c r="O34" t="b">
        <f>B34=Datos!B34</f>
        <v>1</v>
      </c>
      <c r="P34" t="b">
        <f>D34=TRIM(CLEAN(Datos!F34))</f>
        <v>1</v>
      </c>
      <c r="Q34" t="b">
        <f>J34=Datos!L34</f>
        <v>1</v>
      </c>
      <c r="R34" t="b">
        <f>L34=Datos!N34</f>
        <v>1</v>
      </c>
      <c r="S34" t="b">
        <f>M34=Datos!O34</f>
        <v>0</v>
      </c>
    </row>
    <row r="35" spans="1:19">
      <c r="A35" s="5">
        <v>5</v>
      </c>
      <c r="B35" s="5" t="s">
        <v>33</v>
      </c>
      <c r="C35" t="s">
        <v>136</v>
      </c>
      <c r="D35" t="s">
        <v>136</v>
      </c>
      <c r="E35" t="s">
        <v>137</v>
      </c>
      <c r="F35" s="3">
        <v>273099</v>
      </c>
      <c r="G35" s="3">
        <v>162850</v>
      </c>
      <c r="H35" s="3">
        <v>300656</v>
      </c>
      <c r="I35" s="3">
        <f t="shared" si="0"/>
        <v>736605</v>
      </c>
      <c r="J35" s="24">
        <f t="shared" si="1"/>
        <v>435949</v>
      </c>
      <c r="K35" s="2">
        <v>18</v>
      </c>
      <c r="L35" s="24">
        <f t="shared" si="2"/>
        <v>200437.33333333334</v>
      </c>
      <c r="M35" s="25">
        <f>I35/SUM($I$5:$I$51)*Instrucciones!$B$84</f>
        <v>98170.779986874841</v>
      </c>
      <c r="O35" t="b">
        <f>B35=Datos!B35</f>
        <v>1</v>
      </c>
      <c r="P35" t="b">
        <f>D35=TRIM(CLEAN(Datos!F35))</f>
        <v>1</v>
      </c>
      <c r="Q35" t="b">
        <f>J35=Datos!L35</f>
        <v>1</v>
      </c>
      <c r="R35" t="b">
        <f>L35=Datos!N35</f>
        <v>1</v>
      </c>
      <c r="S35" t="b">
        <f>M35=Datos!O35</f>
        <v>0</v>
      </c>
    </row>
    <row r="36" spans="1:19">
      <c r="A36" s="5">
        <v>2</v>
      </c>
      <c r="B36" s="5" t="s">
        <v>30</v>
      </c>
      <c r="C36" t="s">
        <v>138</v>
      </c>
      <c r="D36" t="s">
        <v>138</v>
      </c>
      <c r="E36" t="s">
        <v>139</v>
      </c>
      <c r="F36" s="3">
        <v>914535</v>
      </c>
      <c r="G36" s="3">
        <v>216333</v>
      </c>
      <c r="H36" s="3">
        <v>759668</v>
      </c>
      <c r="I36" s="3">
        <f t="shared" si="0"/>
        <v>1890536</v>
      </c>
      <c r="J36" s="24">
        <f t="shared" si="1"/>
        <v>1130868</v>
      </c>
      <c r="K36" s="2">
        <v>18</v>
      </c>
      <c r="L36" s="24">
        <f t="shared" si="2"/>
        <v>506445.33333333331</v>
      </c>
      <c r="M36" s="25">
        <f>I36/SUM($I$5:$I$51)*Instrucciones!$B$84</f>
        <v>251960.54019897562</v>
      </c>
      <c r="O36" t="b">
        <f>B36=Datos!B36</f>
        <v>1</v>
      </c>
      <c r="P36" t="b">
        <f>D36=TRIM(CLEAN(Datos!F36))</f>
        <v>1</v>
      </c>
      <c r="Q36" t="b">
        <f>J36=Datos!L36</f>
        <v>1</v>
      </c>
      <c r="R36" t="b">
        <f>L36=Datos!N36</f>
        <v>1</v>
      </c>
      <c r="S36" t="b">
        <f>M36=Datos!O36</f>
        <v>0</v>
      </c>
    </row>
    <row r="37" spans="1:19">
      <c r="A37" s="5">
        <v>2</v>
      </c>
      <c r="B37" s="5" t="s">
        <v>30</v>
      </c>
      <c r="C37" t="s">
        <v>140</v>
      </c>
      <c r="D37" t="s">
        <v>140</v>
      </c>
      <c r="E37" t="s">
        <v>141</v>
      </c>
      <c r="F37" s="3">
        <v>934287</v>
      </c>
      <c r="G37" s="3">
        <v>810034</v>
      </c>
      <c r="H37" s="3">
        <v>343346</v>
      </c>
      <c r="I37" s="3">
        <f t="shared" si="0"/>
        <v>2087667</v>
      </c>
      <c r="J37" s="24">
        <f t="shared" si="1"/>
        <v>1744321</v>
      </c>
      <c r="K37" s="2">
        <v>18</v>
      </c>
      <c r="L37" s="24">
        <f t="shared" si="2"/>
        <v>228897.33333333334</v>
      </c>
      <c r="M37" s="25">
        <f>I37/SUM($I$5:$I$51)*Instrucciones!$B$84</f>
        <v>278233.10694722278</v>
      </c>
      <c r="O37" t="b">
        <f>B37=Datos!B37</f>
        <v>1</v>
      </c>
      <c r="P37" t="b">
        <f>D37=TRIM(CLEAN(Datos!F37))</f>
        <v>1</v>
      </c>
      <c r="Q37" t="b">
        <f>J37=Datos!L37</f>
        <v>1</v>
      </c>
      <c r="R37" t="b">
        <f>L37=Datos!N37</f>
        <v>1</v>
      </c>
      <c r="S37" t="b">
        <f>M37=Datos!O37</f>
        <v>0</v>
      </c>
    </row>
    <row r="38" spans="1:19">
      <c r="A38" s="5">
        <v>5</v>
      </c>
      <c r="B38" s="5" t="s">
        <v>33</v>
      </c>
      <c r="C38" t="s">
        <v>142</v>
      </c>
      <c r="D38" t="s">
        <v>142</v>
      </c>
      <c r="E38" t="s">
        <v>143</v>
      </c>
      <c r="F38" s="3">
        <v>553800</v>
      </c>
      <c r="G38" s="3">
        <v>945309</v>
      </c>
      <c r="H38" s="3">
        <v>141913</v>
      </c>
      <c r="I38" s="3">
        <f t="shared" si="0"/>
        <v>1641022</v>
      </c>
      <c r="J38" s="24">
        <f t="shared" si="1"/>
        <v>1499109</v>
      </c>
      <c r="K38" s="2">
        <v>18</v>
      </c>
      <c r="L38" s="24">
        <f t="shared" si="2"/>
        <v>94608.666666666672</v>
      </c>
      <c r="M38" s="25">
        <f>I38/SUM($I$5:$I$51)*Instrucciones!$B$84</f>
        <v>218706.64700296812</v>
      </c>
      <c r="O38" t="b">
        <f>B38=Datos!B38</f>
        <v>1</v>
      </c>
      <c r="P38" t="b">
        <f>D38=TRIM(CLEAN(Datos!F38))</f>
        <v>1</v>
      </c>
      <c r="Q38" t="b">
        <f>J38=Datos!L38</f>
        <v>1</v>
      </c>
      <c r="R38" t="b">
        <f>L38=Datos!N38</f>
        <v>1</v>
      </c>
      <c r="S38" t="b">
        <f>M38=Datos!O38</f>
        <v>0</v>
      </c>
    </row>
    <row r="39" spans="1:19">
      <c r="A39" s="5">
        <v>4</v>
      </c>
      <c r="B39" s="5" t="s">
        <v>32</v>
      </c>
      <c r="C39" t="s">
        <v>144</v>
      </c>
      <c r="D39" t="s">
        <v>144</v>
      </c>
      <c r="E39" t="s">
        <v>145</v>
      </c>
      <c r="F39" s="3">
        <v>743857</v>
      </c>
      <c r="G39" s="3">
        <v>824219</v>
      </c>
      <c r="H39" s="3">
        <v>617862</v>
      </c>
      <c r="I39" s="3">
        <f t="shared" si="0"/>
        <v>2185938</v>
      </c>
      <c r="J39" s="24">
        <f t="shared" si="1"/>
        <v>1568076</v>
      </c>
      <c r="K39" s="2">
        <v>18</v>
      </c>
      <c r="L39" s="24">
        <f t="shared" si="2"/>
        <v>411908</v>
      </c>
      <c r="M39" s="25">
        <f>I39/SUM($I$5:$I$51)*Instrucciones!$B$84</f>
        <v>291330.14093435317</v>
      </c>
      <c r="O39" t="b">
        <f>B39=Datos!B39</f>
        <v>1</v>
      </c>
      <c r="P39" t="b">
        <f>D39=TRIM(CLEAN(Datos!F39))</f>
        <v>1</v>
      </c>
      <c r="Q39" t="b">
        <f>J39=Datos!L39</f>
        <v>1</v>
      </c>
      <c r="R39" t="b">
        <f>L39=Datos!N39</f>
        <v>1</v>
      </c>
      <c r="S39" t="b">
        <f>M39=Datos!O39</f>
        <v>0</v>
      </c>
    </row>
    <row r="40" spans="1:19">
      <c r="A40" s="5">
        <v>5</v>
      </c>
      <c r="B40" s="5" t="s">
        <v>33</v>
      </c>
      <c r="C40" t="s">
        <v>146</v>
      </c>
      <c r="D40" t="s">
        <v>209</v>
      </c>
      <c r="E40" t="s">
        <v>147</v>
      </c>
      <c r="F40" s="3">
        <v>24419</v>
      </c>
      <c r="G40" s="3">
        <v>888729</v>
      </c>
      <c r="H40" s="3">
        <v>875923</v>
      </c>
      <c r="I40" s="3">
        <f t="shared" si="0"/>
        <v>1789071</v>
      </c>
      <c r="J40" s="24">
        <f t="shared" si="1"/>
        <v>913148</v>
      </c>
      <c r="K40" s="2">
        <v>12</v>
      </c>
      <c r="L40" s="24">
        <f t="shared" si="2"/>
        <v>875923</v>
      </c>
      <c r="M40" s="25">
        <f>I40/SUM($I$5:$I$51)*Instrucciones!$B$84</f>
        <v>238437.82695189168</v>
      </c>
      <c r="O40" t="b">
        <f>B40=Datos!B40</f>
        <v>1</v>
      </c>
      <c r="P40" t="b">
        <f>D40=TRIM(CLEAN(Datos!F40))</f>
        <v>1</v>
      </c>
      <c r="Q40" t="b">
        <f>J40=Datos!L40</f>
        <v>1</v>
      </c>
      <c r="R40" t="b">
        <f>L40=Datos!N40</f>
        <v>1</v>
      </c>
      <c r="S40" t="b">
        <f>M40=Datos!O40</f>
        <v>0</v>
      </c>
    </row>
    <row r="41" spans="1:19">
      <c r="A41" s="5">
        <v>2</v>
      </c>
      <c r="B41" s="5" t="s">
        <v>30</v>
      </c>
      <c r="C41" t="s">
        <v>50</v>
      </c>
      <c r="D41" t="s">
        <v>51</v>
      </c>
      <c r="E41" t="s">
        <v>148</v>
      </c>
      <c r="F41" s="3">
        <v>278687</v>
      </c>
      <c r="G41" s="3">
        <v>334073</v>
      </c>
      <c r="H41" s="3">
        <v>933846</v>
      </c>
      <c r="I41" s="3">
        <f t="shared" si="0"/>
        <v>1546606</v>
      </c>
      <c r="J41" s="24">
        <f t="shared" si="1"/>
        <v>612760</v>
      </c>
      <c r="K41" s="2">
        <v>12</v>
      </c>
      <c r="L41" s="24">
        <f t="shared" si="2"/>
        <v>933846</v>
      </c>
      <c r="M41" s="25">
        <f>I41/SUM($I$5:$I$51)*Instrucciones!$B$84</f>
        <v>206123.38682520558</v>
      </c>
      <c r="O41" t="b">
        <f>B41=Datos!B41</f>
        <v>1</v>
      </c>
      <c r="P41" t="b">
        <f>D41=TRIM(CLEAN(Datos!F41))</f>
        <v>1</v>
      </c>
      <c r="Q41" t="b">
        <f>J41=Datos!L41</f>
        <v>1</v>
      </c>
      <c r="R41" t="b">
        <f>L41=Datos!N41</f>
        <v>1</v>
      </c>
      <c r="S41" t="b">
        <f>M41=Datos!O41</f>
        <v>0</v>
      </c>
    </row>
    <row r="42" spans="1:19">
      <c r="A42" s="5">
        <v>1</v>
      </c>
      <c r="B42" s="5" t="s">
        <v>29</v>
      </c>
      <c r="C42" t="s">
        <v>149</v>
      </c>
      <c r="D42" t="s">
        <v>149</v>
      </c>
      <c r="E42" t="s">
        <v>150</v>
      </c>
      <c r="F42" s="3">
        <v>465041</v>
      </c>
      <c r="G42" s="3">
        <v>89894</v>
      </c>
      <c r="H42" s="3">
        <v>587390</v>
      </c>
      <c r="I42" s="3">
        <f t="shared" si="0"/>
        <v>1142325</v>
      </c>
      <c r="J42" s="24">
        <f t="shared" si="1"/>
        <v>554935</v>
      </c>
      <c r="K42" s="2">
        <v>12</v>
      </c>
      <c r="L42" s="24">
        <f t="shared" si="2"/>
        <v>587390</v>
      </c>
      <c r="M42" s="25">
        <f>I42/SUM($I$5:$I$51)*Instrucciones!$B$84</f>
        <v>152242.97452298968</v>
      </c>
      <c r="O42" t="b">
        <f>B42=Datos!B42</f>
        <v>1</v>
      </c>
      <c r="P42" t="b">
        <f>D42=TRIM(CLEAN(Datos!F42))</f>
        <v>1</v>
      </c>
      <c r="Q42" t="b">
        <f>J42=Datos!L42</f>
        <v>1</v>
      </c>
      <c r="R42" t="b">
        <f>L42=Datos!N42</f>
        <v>1</v>
      </c>
      <c r="S42" t="b">
        <f>M42=Datos!O42</f>
        <v>0</v>
      </c>
    </row>
    <row r="43" spans="1:19">
      <c r="A43" s="5">
        <v>3</v>
      </c>
      <c r="B43" s="5" t="s">
        <v>31</v>
      </c>
      <c r="C43" t="s">
        <v>151</v>
      </c>
      <c r="D43" t="s">
        <v>151</v>
      </c>
      <c r="E43" t="s">
        <v>152</v>
      </c>
      <c r="F43" s="3">
        <v>210926</v>
      </c>
      <c r="G43" s="3">
        <v>876352</v>
      </c>
      <c r="H43" s="3">
        <v>124064</v>
      </c>
      <c r="I43" s="3">
        <f t="shared" si="0"/>
        <v>1211342</v>
      </c>
      <c r="J43" s="24">
        <f t="shared" si="1"/>
        <v>1087278</v>
      </c>
      <c r="K43" s="2">
        <v>12</v>
      </c>
      <c r="L43" s="24">
        <f t="shared" si="2"/>
        <v>124064</v>
      </c>
      <c r="M43" s="25">
        <f>I43/SUM($I$5:$I$51)*Instrucciones!$B$84</f>
        <v>161441.19164390813</v>
      </c>
      <c r="O43" t="b">
        <f>B43=Datos!B43</f>
        <v>1</v>
      </c>
      <c r="P43" t="b">
        <f>D43=TRIM(CLEAN(Datos!F43))</f>
        <v>1</v>
      </c>
      <c r="Q43" t="b">
        <f>J43=Datos!L43</f>
        <v>1</v>
      </c>
      <c r="R43" t="b">
        <f>L43=Datos!N43</f>
        <v>1</v>
      </c>
      <c r="S43" t="b">
        <f>M43=Datos!O43</f>
        <v>0</v>
      </c>
    </row>
    <row r="44" spans="1:19">
      <c r="A44" s="5">
        <v>3</v>
      </c>
      <c r="B44" s="5" t="s">
        <v>31</v>
      </c>
      <c r="C44" t="s">
        <v>47</v>
      </c>
      <c r="D44" t="s">
        <v>48</v>
      </c>
      <c r="E44" t="s">
        <v>153</v>
      </c>
      <c r="F44" s="3">
        <v>604729</v>
      </c>
      <c r="G44" s="3">
        <v>84466</v>
      </c>
      <c r="H44" s="3">
        <v>616433</v>
      </c>
      <c r="I44" s="3">
        <f t="shared" si="0"/>
        <v>1305628</v>
      </c>
      <c r="J44" s="24">
        <f t="shared" si="1"/>
        <v>689195</v>
      </c>
      <c r="K44" s="2">
        <v>12</v>
      </c>
      <c r="L44" s="24">
        <f t="shared" si="2"/>
        <v>616433</v>
      </c>
      <c r="M44" s="25">
        <f>I44/SUM($I$5:$I$51)*Instrucciones!$B$84</f>
        <v>174007.12611603699</v>
      </c>
      <c r="O44" t="b">
        <f>B44=Datos!B44</f>
        <v>1</v>
      </c>
      <c r="P44" t="b">
        <f>D44=TRIM(CLEAN(Datos!F44))</f>
        <v>0</v>
      </c>
      <c r="Q44" t="b">
        <f>J44=Datos!L44</f>
        <v>1</v>
      </c>
      <c r="R44" t="b">
        <f>L44=Datos!N44</f>
        <v>1</v>
      </c>
      <c r="S44" t="b">
        <f>M44=Datos!O44</f>
        <v>0</v>
      </c>
    </row>
    <row r="45" spans="1:19">
      <c r="A45" s="5">
        <v>2</v>
      </c>
      <c r="B45" s="5" t="s">
        <v>30</v>
      </c>
      <c r="C45" t="s">
        <v>154</v>
      </c>
      <c r="D45" t="s">
        <v>154</v>
      </c>
      <c r="E45" t="s">
        <v>155</v>
      </c>
      <c r="F45" s="3">
        <v>585497</v>
      </c>
      <c r="G45" s="3">
        <v>889504</v>
      </c>
      <c r="H45" s="3">
        <v>128487</v>
      </c>
      <c r="I45" s="3">
        <f t="shared" si="0"/>
        <v>1603488</v>
      </c>
      <c r="J45" s="24">
        <f t="shared" si="1"/>
        <v>1475001</v>
      </c>
      <c r="K45" s="2">
        <v>12</v>
      </c>
      <c r="L45" s="24">
        <f t="shared" si="2"/>
        <v>128487</v>
      </c>
      <c r="M45" s="25">
        <f>I45/SUM($I$5:$I$51)*Instrucciones!$B$84</f>
        <v>213704.31596254979</v>
      </c>
      <c r="O45" t="b">
        <f>B45=Datos!B45</f>
        <v>1</v>
      </c>
      <c r="P45" t="b">
        <f>D45=TRIM(CLEAN(Datos!F45))</f>
        <v>1</v>
      </c>
      <c r="Q45" t="b">
        <f>J45=Datos!L45</f>
        <v>1</v>
      </c>
      <c r="R45" t="b">
        <f>L45=Datos!N45</f>
        <v>1</v>
      </c>
      <c r="S45" t="b">
        <f>M45=Datos!O45</f>
        <v>0</v>
      </c>
    </row>
    <row r="46" spans="1:19">
      <c r="A46" s="5">
        <v>4</v>
      </c>
      <c r="B46" s="5" t="s">
        <v>32</v>
      </c>
      <c r="C46" t="s">
        <v>156</v>
      </c>
      <c r="D46" t="s">
        <v>156</v>
      </c>
      <c r="E46" t="s">
        <v>157</v>
      </c>
      <c r="F46" s="3">
        <v>857867</v>
      </c>
      <c r="G46" s="3">
        <v>10970</v>
      </c>
      <c r="H46" s="3">
        <v>71560</v>
      </c>
      <c r="I46" s="3">
        <f t="shared" si="0"/>
        <v>940397</v>
      </c>
      <c r="J46" s="24">
        <f t="shared" si="1"/>
        <v>868837</v>
      </c>
      <c r="K46" s="2">
        <v>24</v>
      </c>
      <c r="L46" s="24">
        <f t="shared" si="2"/>
        <v>35780</v>
      </c>
      <c r="M46" s="25">
        <f>I46/SUM($I$5:$I$51)*Instrucciones!$B$84</f>
        <v>125331.08923685984</v>
      </c>
      <c r="O46" t="b">
        <f>B46=Datos!B46</f>
        <v>1</v>
      </c>
      <c r="P46" t="b">
        <f>D46=TRIM(CLEAN(Datos!F46))</f>
        <v>1</v>
      </c>
      <c r="Q46" t="b">
        <f>J46=Datos!L46</f>
        <v>1</v>
      </c>
      <c r="R46" t="b">
        <f>L46=Datos!N46</f>
        <v>1</v>
      </c>
      <c r="S46" t="b">
        <f>M46=Datos!O46</f>
        <v>0</v>
      </c>
    </row>
    <row r="47" spans="1:19">
      <c r="A47" s="5">
        <v>5</v>
      </c>
      <c r="B47" s="5" t="s">
        <v>33</v>
      </c>
      <c r="C47" t="s">
        <v>158</v>
      </c>
      <c r="D47" t="s">
        <v>158</v>
      </c>
      <c r="E47" t="s">
        <v>159</v>
      </c>
      <c r="F47" s="3">
        <v>768065</v>
      </c>
      <c r="G47" s="3">
        <v>904615</v>
      </c>
      <c r="H47" s="3">
        <v>493017</v>
      </c>
      <c r="I47" s="3">
        <f t="shared" si="0"/>
        <v>2165697</v>
      </c>
      <c r="J47" s="24">
        <f t="shared" si="1"/>
        <v>1672680</v>
      </c>
      <c r="K47" s="2">
        <v>24</v>
      </c>
      <c r="L47" s="24">
        <f t="shared" si="2"/>
        <v>246508.5</v>
      </c>
      <c r="M47" s="25">
        <f>I47/SUM($I$5:$I$51)*Instrucciones!$B$84</f>
        <v>288632.52856718987</v>
      </c>
      <c r="O47" t="b">
        <f>B47=Datos!B47</f>
        <v>1</v>
      </c>
      <c r="P47" t="b">
        <f>D47=TRIM(CLEAN(Datos!F47))</f>
        <v>1</v>
      </c>
      <c r="Q47" t="b">
        <f>J47=Datos!L47</f>
        <v>1</v>
      </c>
      <c r="R47" t="b">
        <f>L47=Datos!N47</f>
        <v>1</v>
      </c>
      <c r="S47" t="b">
        <f>M47=Datos!O47</f>
        <v>0</v>
      </c>
    </row>
    <row r="48" spans="1:19">
      <c r="A48" s="5">
        <v>5</v>
      </c>
      <c r="B48" s="5" t="s">
        <v>33</v>
      </c>
      <c r="C48" t="s">
        <v>160</v>
      </c>
      <c r="D48" t="s">
        <v>160</v>
      </c>
      <c r="E48" t="s">
        <v>161</v>
      </c>
      <c r="F48" s="3">
        <v>671312</v>
      </c>
      <c r="G48" s="3">
        <v>608993</v>
      </c>
      <c r="H48" s="3">
        <v>481648</v>
      </c>
      <c r="I48" s="3">
        <f t="shared" si="0"/>
        <v>1761953</v>
      </c>
      <c r="J48" s="24">
        <f t="shared" si="1"/>
        <v>1280305</v>
      </c>
      <c r="K48" s="2">
        <v>24</v>
      </c>
      <c r="L48" s="24">
        <f t="shared" si="2"/>
        <v>240824</v>
      </c>
      <c r="M48" s="25">
        <f>I48/SUM($I$5:$I$51)*Instrucciones!$B$84</f>
        <v>234823.68475670691</v>
      </c>
      <c r="O48" t="b">
        <f>B48=Datos!B48</f>
        <v>1</v>
      </c>
      <c r="P48" t="b">
        <f>D48=TRIM(CLEAN(Datos!F48))</f>
        <v>1</v>
      </c>
      <c r="Q48" t="b">
        <f>J48=Datos!L48</f>
        <v>1</v>
      </c>
      <c r="R48" t="b">
        <f>L48=Datos!N48</f>
        <v>1</v>
      </c>
      <c r="S48" t="b">
        <f>M48=Datos!O48</f>
        <v>0</v>
      </c>
    </row>
    <row r="49" spans="1:19">
      <c r="A49" s="5">
        <v>2</v>
      </c>
      <c r="B49" s="5" t="s">
        <v>30</v>
      </c>
      <c r="C49" t="s">
        <v>162</v>
      </c>
      <c r="D49" t="s">
        <v>162</v>
      </c>
      <c r="E49" t="s">
        <v>163</v>
      </c>
      <c r="F49" s="3">
        <v>477070</v>
      </c>
      <c r="G49" s="3">
        <v>637457</v>
      </c>
      <c r="H49" s="3">
        <v>394527</v>
      </c>
      <c r="I49" s="3">
        <f t="shared" si="0"/>
        <v>1509054</v>
      </c>
      <c r="J49" s="24">
        <f t="shared" si="1"/>
        <v>1114527</v>
      </c>
      <c r="K49" s="2">
        <v>24</v>
      </c>
      <c r="L49" s="24">
        <f t="shared" si="2"/>
        <v>197263.5</v>
      </c>
      <c r="M49" s="25">
        <f>I49/SUM($I$5:$I$51)*Instrucciones!$B$84</f>
        <v>201118.65684093026</v>
      </c>
      <c r="O49" t="b">
        <f>B49=Datos!B49</f>
        <v>1</v>
      </c>
      <c r="P49" t="b">
        <f>D49=TRIM(CLEAN(Datos!F49))</f>
        <v>1</v>
      </c>
      <c r="Q49" t="b">
        <f>J49=Datos!L49</f>
        <v>1</v>
      </c>
      <c r="R49" t="b">
        <f>L49=Datos!N49</f>
        <v>1</v>
      </c>
      <c r="S49" t="b">
        <f>M49=Datos!O49</f>
        <v>0</v>
      </c>
    </row>
    <row r="50" spans="1:19">
      <c r="A50" s="5">
        <v>3</v>
      </c>
      <c r="B50" s="5" t="s">
        <v>31</v>
      </c>
      <c r="C50" t="s">
        <v>164</v>
      </c>
      <c r="D50" t="s">
        <v>164</v>
      </c>
      <c r="E50" t="s">
        <v>165</v>
      </c>
      <c r="F50" s="3">
        <v>741836</v>
      </c>
      <c r="G50" s="3">
        <v>395516</v>
      </c>
      <c r="H50" s="3">
        <v>914708</v>
      </c>
      <c r="I50" s="3">
        <f t="shared" si="0"/>
        <v>2052060</v>
      </c>
      <c r="J50" s="24">
        <f t="shared" si="1"/>
        <v>1137352</v>
      </c>
      <c r="K50" s="2">
        <v>12</v>
      </c>
      <c r="L50" s="24">
        <f t="shared" si="2"/>
        <v>914708</v>
      </c>
      <c r="M50" s="25">
        <f>I50/SUM($I$5:$I$51)*Instrucciones!$B$84</f>
        <v>273487.59617415897</v>
      </c>
      <c r="O50" t="b">
        <f>B50=Datos!B50</f>
        <v>1</v>
      </c>
      <c r="P50" t="b">
        <f>D50=TRIM(CLEAN(Datos!F50))</f>
        <v>1</v>
      </c>
      <c r="Q50" t="b">
        <f>J50=Datos!L50</f>
        <v>1</v>
      </c>
      <c r="R50" t="b">
        <f>L50=Datos!N50</f>
        <v>1</v>
      </c>
      <c r="S50" t="b">
        <f>M50=Datos!O50</f>
        <v>0</v>
      </c>
    </row>
    <row r="51" spans="1:19">
      <c r="A51" s="5">
        <v>1</v>
      </c>
      <c r="B51" s="5" t="s">
        <v>29</v>
      </c>
      <c r="C51" t="s">
        <v>166</v>
      </c>
      <c r="D51" t="s">
        <v>166</v>
      </c>
      <c r="E51" t="s">
        <v>167</v>
      </c>
      <c r="F51" s="3">
        <v>51206</v>
      </c>
      <c r="G51" s="3">
        <v>36507</v>
      </c>
      <c r="H51" s="3">
        <v>58308</v>
      </c>
      <c r="I51" s="3">
        <f t="shared" si="0"/>
        <v>146021</v>
      </c>
      <c r="J51" s="24">
        <f t="shared" si="1"/>
        <v>87713</v>
      </c>
      <c r="K51" s="2">
        <v>12</v>
      </c>
      <c r="L51" s="24">
        <f t="shared" si="2"/>
        <v>58308</v>
      </c>
      <c r="M51" s="25">
        <f>I51/SUM($I$5:$I$51)*Instrucciones!$B$84</f>
        <v>19460.898941038213</v>
      </c>
      <c r="O51" t="b">
        <f>B51=Datos!B51</f>
        <v>1</v>
      </c>
      <c r="P51" t="b">
        <f>D51=TRIM(CLEAN(Datos!F51))</f>
        <v>1</v>
      </c>
      <c r="Q51" t="b">
        <f>J51=Datos!L51</f>
        <v>1</v>
      </c>
      <c r="R51" t="b">
        <f>L51=Datos!N51</f>
        <v>1</v>
      </c>
      <c r="S51" t="b">
        <f>M51=Datos!O51</f>
        <v>0</v>
      </c>
    </row>
    <row r="52" spans="1:19">
      <c r="E52" s="15" t="s">
        <v>168</v>
      </c>
      <c r="F52" s="18">
        <v>26405003</v>
      </c>
      <c r="G52" s="18">
        <v>23712714</v>
      </c>
      <c r="H52" s="18">
        <v>24915302</v>
      </c>
      <c r="I52" s="18">
        <v>78033019</v>
      </c>
      <c r="J52" s="18">
        <f>SUM(J5:J51)</f>
        <v>50117717</v>
      </c>
      <c r="L52" s="18">
        <f>SUM(L5:L51)</f>
        <v>21140704.5</v>
      </c>
      <c r="M52" s="18">
        <f>SUM(M5:M51)</f>
        <v>9999999.9999999981</v>
      </c>
    </row>
  </sheetData>
  <autoFilter ref="A4:M52" xr:uid="{B5801724-F1E6-45A2-B7CB-34FDE6339886}"/>
  <dataValidations count="1">
    <dataValidation type="list" allowBlank="1" showInputMessage="1" showErrorMessage="1" sqref="F4" xr:uid="{C7333214-8896-43D4-8135-94468B4D155F}">
      <formula1>"Yes,Unable To Complete"</formula1>
    </dataValidation>
  </dataValidations>
  <pageMargins left="0.7" right="0.7" top="0.75" bottom="0.75" header="0.3" footer="0.3"/>
  <headerFooter>
    <oddHeader>&amp;R&amp;"Calibri"&amp;10&amp;K0000FF Confidential &amp;1#_x000D_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8237E-7F81-45F6-9C68-3D5304CB2406}">
  <sheetPr codeName="Sheet5"/>
  <dimension ref="A1:L19"/>
  <sheetViews>
    <sheetView zoomScale="85" zoomScaleNormal="85" workbookViewId="0">
      <selection activeCell="G42" sqref="G42"/>
    </sheetView>
  </sheetViews>
  <sheetFormatPr defaultColWidth="8.625" defaultRowHeight="13.9"/>
  <cols>
    <col min="1" max="1" width="13.25" customWidth="1"/>
    <col min="2" max="9" width="13.875" customWidth="1"/>
    <col min="10" max="10" width="14.375" customWidth="1"/>
    <col min="11" max="11" width="13.5" customWidth="1"/>
    <col min="12" max="12" width="12.125" customWidth="1"/>
  </cols>
  <sheetData>
    <row r="1" spans="1:12" ht="27.6">
      <c r="B1" s="4" t="s">
        <v>210</v>
      </c>
      <c r="C1" s="4" t="s">
        <v>211</v>
      </c>
      <c r="D1" s="4" t="s">
        <v>212</v>
      </c>
      <c r="E1" s="4" t="s">
        <v>213</v>
      </c>
      <c r="F1" s="4" t="s">
        <v>214</v>
      </c>
      <c r="G1" s="4" t="s">
        <v>215</v>
      </c>
      <c r="H1" s="4" t="s">
        <v>216</v>
      </c>
      <c r="I1" s="4" t="s">
        <v>217</v>
      </c>
      <c r="J1" s="6" t="s">
        <v>218</v>
      </c>
      <c r="K1" s="4" t="s">
        <v>219</v>
      </c>
      <c r="L1" s="45" t="s">
        <v>220</v>
      </c>
    </row>
    <row r="2" spans="1:12">
      <c r="A2" s="11" t="s">
        <v>221</v>
      </c>
      <c r="B2" s="27"/>
      <c r="C2" s="28" t="s">
        <v>222</v>
      </c>
      <c r="D2" s="28" t="s">
        <v>222</v>
      </c>
      <c r="E2" s="28" t="s">
        <v>222</v>
      </c>
      <c r="F2" s="28" t="s">
        <v>222</v>
      </c>
      <c r="G2" s="28">
        <f>IF(Instrucciones!F4&lt;&gt;"Yes",0,1)</f>
        <v>1</v>
      </c>
      <c r="H2" s="7" t="s">
        <v>222</v>
      </c>
      <c r="I2" s="7" t="s">
        <v>222</v>
      </c>
      <c r="J2" s="7" t="s">
        <v>222</v>
      </c>
      <c r="K2" s="7">
        <v>0</v>
      </c>
      <c r="L2" s="7" t="str">
        <f>IF(Instrucciones!F4="Yes","Yes","No")</f>
        <v>Yes</v>
      </c>
    </row>
    <row r="3" spans="1:12">
      <c r="A3" s="12" t="s">
        <v>190</v>
      </c>
      <c r="B3" s="29"/>
      <c r="C3" s="38">
        <f>B3-B2</f>
        <v>0</v>
      </c>
      <c r="D3" s="38">
        <v>3.472222222222222E-3</v>
      </c>
      <c r="E3" s="39">
        <f>C3/D3</f>
        <v>0</v>
      </c>
      <c r="F3" s="40">
        <f>IF(L3="No",0,IF(E3&lt;0.5,3,IF(E3&lt;1,2,IF(E3&lt;1.25,1,0))))</f>
        <v>3</v>
      </c>
      <c r="G3" s="32">
        <f>COUNTIF(Marking!O:O,"True")/COUNTA(Marking!O5:O51)</f>
        <v>0</v>
      </c>
      <c r="H3" s="32">
        <v>1</v>
      </c>
      <c r="I3" s="8">
        <f>IF(L3="No",0,IF(G3&gt;=H3,2,IF(G3&gt;=(H3*0.7),1,0)))</f>
        <v>0</v>
      </c>
      <c r="J3" s="8"/>
      <c r="K3" s="8">
        <f>IF(L3="No",0,IF(J3="Yes",2,IF(G3&gt;=H3,1,0)))</f>
        <v>0</v>
      </c>
      <c r="L3" s="8" t="str">
        <f>IF(Instrucciones!F5="Yes","Yes","No")</f>
        <v>Yes</v>
      </c>
    </row>
    <row r="4" spans="1:12">
      <c r="A4" s="12" t="s">
        <v>191</v>
      </c>
      <c r="B4" s="29"/>
      <c r="C4" s="38">
        <f t="shared" ref="C4:C8" si="0">B4-B3</f>
        <v>0</v>
      </c>
      <c r="D4" s="38">
        <v>6.9444444444444441E-3</v>
      </c>
      <c r="E4" s="39">
        <f t="shared" ref="E4:E9" si="1">C4/D4</f>
        <v>0</v>
      </c>
      <c r="F4" s="40">
        <f t="shared" ref="F4:F8" si="2">IF(L4="No",0,IF(E4&lt;0.5,3,IF(E4&lt;1,2,IF(E4&lt;1.25,1,0))))</f>
        <v>3</v>
      </c>
      <c r="G4" s="32">
        <f>COUNTIF(Marking!P:P,"True")/COUNTA(Marking!P5:P51)</f>
        <v>0</v>
      </c>
      <c r="H4" s="32">
        <v>0.95</v>
      </c>
      <c r="I4" s="8">
        <f t="shared" ref="I4:I7" si="3">IF(L4="No",0,IF(G4&gt;=H4,2,IF(G4&gt;=(H4*0.7),1,0)))</f>
        <v>0</v>
      </c>
      <c r="J4" s="8" t="s">
        <v>222</v>
      </c>
      <c r="K4" s="8">
        <v>0</v>
      </c>
      <c r="L4" s="8" t="str">
        <f>IF(Instrucciones!F6="Yes","Yes","No")</f>
        <v>Yes</v>
      </c>
    </row>
    <row r="5" spans="1:12">
      <c r="A5" s="12" t="s">
        <v>192</v>
      </c>
      <c r="B5" s="29"/>
      <c r="C5" s="38">
        <f t="shared" si="0"/>
        <v>0</v>
      </c>
      <c r="D5" s="38">
        <v>3.472222222222222E-3</v>
      </c>
      <c r="E5" s="39">
        <f t="shared" si="1"/>
        <v>0</v>
      </c>
      <c r="F5" s="40">
        <f t="shared" si="2"/>
        <v>3</v>
      </c>
      <c r="G5" s="32">
        <f>COUNTIF(Marking!Q:Q,"True")/COUNTA(Marking!Q5:Q51)</f>
        <v>0</v>
      </c>
      <c r="H5" s="32">
        <v>1</v>
      </c>
      <c r="I5" s="8">
        <f t="shared" si="3"/>
        <v>0</v>
      </c>
      <c r="J5" s="8"/>
      <c r="K5" s="8">
        <f t="shared" ref="K5:K8" si="4">IF(L5="No",0,IF(J5="Yes",2,IF(G5&gt;=H5,1,0)))</f>
        <v>0</v>
      </c>
      <c r="L5" s="8" t="str">
        <f>IF(Instrucciones!F7="Yes","Yes","No")</f>
        <v>Yes</v>
      </c>
    </row>
    <row r="6" spans="1:12">
      <c r="A6" s="12" t="s">
        <v>193</v>
      </c>
      <c r="B6" s="29"/>
      <c r="C6" s="38">
        <f t="shared" si="0"/>
        <v>0</v>
      </c>
      <c r="D6" s="38">
        <v>6.9444444444444441E-3</v>
      </c>
      <c r="E6" s="39">
        <f t="shared" si="1"/>
        <v>0</v>
      </c>
      <c r="F6" s="40">
        <f t="shared" si="2"/>
        <v>3</v>
      </c>
      <c r="G6" s="32">
        <f>COUNTIF(Marking!R:R,"True")/COUNTA(Marking!R5:R51)</f>
        <v>0</v>
      </c>
      <c r="H6" s="32">
        <v>0.8</v>
      </c>
      <c r="I6" s="8">
        <f t="shared" si="3"/>
        <v>0</v>
      </c>
      <c r="J6" s="8"/>
      <c r="K6" s="8">
        <f t="shared" si="4"/>
        <v>0</v>
      </c>
      <c r="L6" s="8" t="str">
        <f>IF(Instrucciones!F8="Yes","Yes","No")</f>
        <v>Yes</v>
      </c>
    </row>
    <row r="7" spans="1:12">
      <c r="A7" s="12" t="s">
        <v>194</v>
      </c>
      <c r="B7" s="29"/>
      <c r="C7" s="38">
        <f t="shared" si="0"/>
        <v>0</v>
      </c>
      <c r="D7" s="38">
        <v>6.9444444444444441E-3</v>
      </c>
      <c r="E7" s="39">
        <f t="shared" si="1"/>
        <v>0</v>
      </c>
      <c r="F7" s="40">
        <f t="shared" si="2"/>
        <v>3</v>
      </c>
      <c r="G7" s="32">
        <f>COUNTIF(Marking!S:S,"True")/COUNTA(Marking!S5:S51)</f>
        <v>0</v>
      </c>
      <c r="H7" s="32">
        <v>0.8</v>
      </c>
      <c r="I7" s="8">
        <f t="shared" si="3"/>
        <v>0</v>
      </c>
      <c r="J7" s="8"/>
      <c r="K7" s="8">
        <f t="shared" si="4"/>
        <v>0</v>
      </c>
      <c r="L7" s="8" t="str">
        <f>IF(Instrucciones!F9="Yes","Yes","No")</f>
        <v>Yes</v>
      </c>
    </row>
    <row r="8" spans="1:12">
      <c r="A8" s="13" t="s">
        <v>223</v>
      </c>
      <c r="B8" s="30"/>
      <c r="C8" s="38">
        <f t="shared" si="0"/>
        <v>0</v>
      </c>
      <c r="D8" s="38">
        <v>3.472222222222222E-3</v>
      </c>
      <c r="E8" s="41">
        <f t="shared" si="1"/>
        <v>0</v>
      </c>
      <c r="F8" s="42">
        <f t="shared" si="2"/>
        <v>3</v>
      </c>
      <c r="G8" s="31" t="s">
        <v>222</v>
      </c>
      <c r="H8" s="31" t="s">
        <v>222</v>
      </c>
      <c r="I8" s="31" t="s">
        <v>222</v>
      </c>
      <c r="J8" s="9"/>
      <c r="K8" s="8">
        <f t="shared" si="4"/>
        <v>1</v>
      </c>
      <c r="L8" s="9" t="str">
        <f>IF(Instrucciones!F10="Yes","Yes","No")</f>
        <v>Yes</v>
      </c>
    </row>
    <row r="9" spans="1:12">
      <c r="A9" s="15" t="s">
        <v>168</v>
      </c>
      <c r="B9" s="15"/>
      <c r="C9" s="43">
        <f>SUM(C3:C8)</f>
        <v>0</v>
      </c>
      <c r="D9" s="43">
        <f>SUM(D3:D8)</f>
        <v>3.125E-2</v>
      </c>
      <c r="E9" s="44">
        <f t="shared" si="1"/>
        <v>0</v>
      </c>
      <c r="F9" s="16">
        <f>SUM(F2:F8)</f>
        <v>18</v>
      </c>
      <c r="G9" s="33">
        <f>AVERAGE(G2:G8)</f>
        <v>0.16666666666666666</v>
      </c>
      <c r="H9" s="33">
        <f>AVERAGE(H2:H8)</f>
        <v>0.90999999999999992</v>
      </c>
      <c r="I9" s="16">
        <f>SUM(I2:I8)</f>
        <v>0</v>
      </c>
      <c r="K9" s="16">
        <f>SUM(K2:K8)</f>
        <v>1</v>
      </c>
    </row>
    <row r="12" spans="1:12">
      <c r="B12" s="16" t="s">
        <v>224</v>
      </c>
      <c r="C12" s="16" t="s">
        <v>215</v>
      </c>
      <c r="D12" s="16" t="s">
        <v>225</v>
      </c>
      <c r="E12" s="16" t="s">
        <v>226</v>
      </c>
      <c r="F12" s="16" t="s">
        <v>227</v>
      </c>
      <c r="I12" s="36" t="s">
        <v>228</v>
      </c>
      <c r="J12" s="37"/>
    </row>
    <row r="13" spans="1:12">
      <c r="A13" s="4" t="s">
        <v>229</v>
      </c>
      <c r="B13" s="10">
        <f>F9</f>
        <v>18</v>
      </c>
      <c r="C13" s="10">
        <f>I9</f>
        <v>0</v>
      </c>
      <c r="D13" s="10">
        <f>K9</f>
        <v>1</v>
      </c>
      <c r="E13" s="10">
        <f>IF(J12="Yes",3,0)</f>
        <v>0</v>
      </c>
      <c r="F13" s="15">
        <f>SUM(B13:E13)</f>
        <v>19</v>
      </c>
    </row>
    <row r="14" spans="1:12">
      <c r="A14" s="4" t="s">
        <v>230</v>
      </c>
      <c r="B14" s="10">
        <v>18</v>
      </c>
      <c r="C14" s="10">
        <v>10</v>
      </c>
      <c r="D14" s="10">
        <v>10</v>
      </c>
      <c r="E14" s="10">
        <v>3</v>
      </c>
      <c r="F14" s="15">
        <f>SUM(B14:E14)</f>
        <v>41</v>
      </c>
    </row>
    <row r="15" spans="1:12">
      <c r="A15" s="16" t="s">
        <v>231</v>
      </c>
      <c r="B15" s="34">
        <f>B13/B14</f>
        <v>1</v>
      </c>
      <c r="C15" s="34">
        <f>C13/C14</f>
        <v>0</v>
      </c>
      <c r="D15" s="34">
        <f>D13/D14</f>
        <v>0.1</v>
      </c>
      <c r="E15" s="34">
        <f>E13/E14</f>
        <v>0</v>
      </c>
      <c r="F15" s="35">
        <f>F13/F14</f>
        <v>0.46341463414634149</v>
      </c>
    </row>
    <row r="19" spans="2:2">
      <c r="B19" s="46"/>
    </row>
  </sheetData>
  <phoneticPr fontId="4" type="noConversion"/>
  <dataValidations count="2">
    <dataValidation type="list" allowBlank="1" showInputMessage="1" showErrorMessage="1" sqref="J12 J3 J5:J8" xr:uid="{93D1CB05-50B4-4E7D-83C6-C99A3C5F4125}">
      <formula1>"Yes,No,N/A"</formula1>
    </dataValidation>
    <dataValidation type="list" allowBlank="1" showInputMessage="1" showErrorMessage="1" sqref="F4" xr:uid="{BC98705F-34FF-4E7E-9864-97350ADD4DE8}">
      <formula1>"Yes,Unable To Complete"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7e4327f8-ba55-4531-bbb5-87f07072dfd5">
      <Terms xmlns="http://schemas.microsoft.com/office/infopath/2007/PartnerControls"/>
    </lcf76f155ced4ddcb4097134ff3c332f>
    <TaxCatchAll xmlns="fbd31d03-b3e6-43bb-9153-84fa13e0fe3a"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DD935299027BD409B58D69B4A03A9AF" ma:contentTypeVersion="17" ma:contentTypeDescription="Create a new document." ma:contentTypeScope="" ma:versionID="e08863b072de08854404b773959b06c0">
  <xsd:schema xmlns:xsd="http://www.w3.org/2001/XMLSchema" xmlns:xs="http://www.w3.org/2001/XMLSchema" xmlns:p="http://schemas.microsoft.com/office/2006/metadata/properties" xmlns:ns1="http://schemas.microsoft.com/sharepoint/v3" xmlns:ns2="7e4327f8-ba55-4531-bbb5-87f07072dfd5" xmlns:ns3="fbd31d03-b3e6-43bb-9153-84fa13e0fe3a" targetNamespace="http://schemas.microsoft.com/office/2006/metadata/properties" ma:root="true" ma:fieldsID="4a1ae673fdd01a546d3b2f18e4dc6062" ns1:_="" ns2:_="" ns3:_="">
    <xsd:import namespace="http://schemas.microsoft.com/sharepoint/v3"/>
    <xsd:import namespace="7e4327f8-ba55-4531-bbb5-87f07072dfd5"/>
    <xsd:import namespace="fbd31d03-b3e6-43bb-9153-84fa13e0fe3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LengthInSecond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Location" minOccurs="0"/>
                <xsd:element ref="ns2:MediaServiceObjectDetectorVersions"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4327f8-ba55-4531-bbb5-87f07072df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2" nillable="true" ma:displayName="MediaLengthInSeconds" ma:hidden="true" ma:internalName="MediaLengthInSeconds" ma:readOnly="true">
      <xsd:simpleType>
        <xsd:restriction base="dms:Unknown"/>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bd423cc-3e15-43db-b6a8-31cead05c62f"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bd31d03-b3e6-43bb-9153-84fa13e0fe3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2fbb896-1e40-4c64-9f97-47702eccb5a0}" ma:internalName="TaxCatchAll" ma:showField="CatchAllData" ma:web="fbd31d03-b3e6-43bb-9153-84fa13e0fe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10C2146-87F5-48AA-9C95-3CAF53AC7D58}"/>
</file>

<file path=customXml/itemProps2.xml><?xml version="1.0" encoding="utf-8"?>
<ds:datastoreItem xmlns:ds="http://schemas.openxmlformats.org/officeDocument/2006/customXml" ds:itemID="{035D8463-ADE4-4FCB-84FC-F16923CB67E6}"/>
</file>

<file path=customXml/itemProps3.xml><?xml version="1.0" encoding="utf-8"?>
<ds:datastoreItem xmlns:ds="http://schemas.openxmlformats.org/officeDocument/2006/customXml" ds:itemID="{218CFA08-F42C-4CC2-8A21-A2BC72B2BB71}"/>
</file>

<file path=docMetadata/LabelInfo.xml><?xml version="1.0" encoding="utf-8"?>
<clbl:labelList xmlns:clbl="http://schemas.microsoft.com/office/2020/mipLabelMetadata">
  <clbl:label id="{8ad23be8-214e-4e4d-858f-039d00693aea}" enabled="1" method="Standard" siteId="{131d4a42-f96f-4d1b-8981-294c8171e506}"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James Hunt</dc:creator>
  <cp:keywords/>
  <dc:description/>
  <cp:lastModifiedBy/>
  <cp:revision/>
  <dcterms:created xsi:type="dcterms:W3CDTF">2025-04-16T08:37:44Z</dcterms:created>
  <dcterms:modified xsi:type="dcterms:W3CDTF">2026-03-30T20:48:40Z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0x0101008DD935299027BD409B58D69B4A03A9AF</vt:lpwstr>
  </property>
  <property fmtid="{D5CDD505-2E9C-101B-9397-08002B2CF9AE}" pid="3" name="MediaServiceImageTags">
    <vt:lpwstr/>
  </property>
</Properties>
</file>